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rastgo\Downloads\"/>
    </mc:Choice>
  </mc:AlternateContent>
  <xr:revisionPtr revIDLastSave="0" documentId="13_ncr:1_{F762EEB4-FEDA-46D7-96FE-C856BBAE0975}" xr6:coauthVersionLast="47" xr6:coauthVersionMax="47" xr10:uidLastSave="{00000000-0000-0000-0000-000000000000}"/>
  <bookViews>
    <workbookView minimized="1" xWindow="2685" yWindow="2685" windowWidth="19800" windowHeight="10290" tabRatio="500" firstSheet="5" activeTab="6" xr2:uid="{00000000-000D-0000-FFFF-FFFF00000000}"/>
  </bookViews>
  <sheets>
    <sheet name="Cover" sheetId="1" r:id="rId1"/>
    <sheet name="Dashboard" sheetId="2" r:id="rId2"/>
    <sheet name="Assumptions" sheetId="3" r:id="rId3"/>
    <sheet name="Topline_ExC" sheetId="4" r:id="rId4"/>
    <sheet name="Capacity_ExD" sheetId="5" r:id="rId5"/>
    <sheet name="Erlang_Check" sheetId="6" r:id="rId6"/>
    <sheet name="Costs" sheetId="7" r:id="rId7"/>
    <sheet name="PnL_ExE" sheetId="8" r:id="rId8"/>
    <sheet name="UnitEcon" sheetId="9" r:id="rId9"/>
    <sheet name="CostProgram_ExF" sheetId="10" r:id="rId10"/>
    <sheet name="ZBB_Register" sheetId="11" r:id="rId11"/>
    <sheet name="Sensitivit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1" i="7" l="1"/>
  <c r="C60" i="7"/>
  <c r="H16" i="12"/>
  <c r="H15" i="12"/>
  <c r="H14" i="12"/>
  <c r="H13" i="12"/>
  <c r="H12" i="12"/>
  <c r="H11" i="12"/>
  <c r="H10" i="12"/>
  <c r="H9" i="12"/>
  <c r="H8" i="12"/>
  <c r="H7" i="12"/>
  <c r="H6" i="12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K14" i="10"/>
  <c r="O13" i="10"/>
  <c r="J13" i="10"/>
  <c r="E13" i="10"/>
  <c r="O12" i="10"/>
  <c r="J12" i="10"/>
  <c r="E12" i="10"/>
  <c r="O11" i="10"/>
  <c r="J11" i="10"/>
  <c r="E11" i="10"/>
  <c r="O10" i="10"/>
  <c r="J10" i="10"/>
  <c r="E10" i="10"/>
  <c r="O9" i="10"/>
  <c r="J9" i="10"/>
  <c r="O8" i="10"/>
  <c r="J8" i="10"/>
  <c r="E8" i="10"/>
  <c r="O7" i="10"/>
  <c r="J7" i="10"/>
  <c r="E7" i="10"/>
  <c r="O6" i="10"/>
  <c r="J6" i="10"/>
  <c r="E6" i="10"/>
  <c r="D48" i="9"/>
  <c r="C48" i="9"/>
  <c r="N39" i="8"/>
  <c r="M39" i="8"/>
  <c r="L39" i="8"/>
  <c r="K39" i="8"/>
  <c r="J39" i="8"/>
  <c r="I39" i="8"/>
  <c r="H39" i="8"/>
  <c r="G39" i="8"/>
  <c r="F39" i="8"/>
  <c r="E39" i="8"/>
  <c r="D39" i="8"/>
  <c r="C39" i="8"/>
  <c r="C38" i="6"/>
  <c r="C31" i="6"/>
  <c r="C11" i="6"/>
  <c r="C10" i="6"/>
  <c r="C9" i="6"/>
  <c r="C7" i="6"/>
  <c r="N50" i="5"/>
  <c r="M50" i="5"/>
  <c r="L50" i="5"/>
  <c r="K50" i="5"/>
  <c r="J50" i="5"/>
  <c r="I50" i="5"/>
  <c r="H50" i="5"/>
  <c r="G50" i="5"/>
  <c r="F50" i="5"/>
  <c r="E50" i="5"/>
  <c r="D50" i="5"/>
  <c r="C50" i="5"/>
  <c r="N49" i="5"/>
  <c r="M49" i="5"/>
  <c r="L49" i="5"/>
  <c r="K49" i="5"/>
  <c r="J49" i="5"/>
  <c r="I49" i="5"/>
  <c r="H49" i="5"/>
  <c r="G49" i="5"/>
  <c r="F49" i="5"/>
  <c r="E49" i="5"/>
  <c r="D49" i="5"/>
  <c r="C49" i="5"/>
  <c r="N48" i="5"/>
  <c r="M48" i="5"/>
  <c r="L48" i="5"/>
  <c r="K48" i="5"/>
  <c r="J48" i="5"/>
  <c r="I48" i="5"/>
  <c r="H48" i="5"/>
  <c r="G48" i="5"/>
  <c r="F48" i="5"/>
  <c r="E48" i="5"/>
  <c r="D48" i="5"/>
  <c r="C48" i="5"/>
  <c r="O48" i="5" s="1"/>
  <c r="N24" i="5"/>
  <c r="M24" i="5"/>
  <c r="L24" i="5"/>
  <c r="K24" i="5"/>
  <c r="J24" i="5"/>
  <c r="I24" i="5"/>
  <c r="H24" i="5"/>
  <c r="G24" i="5"/>
  <c r="F24" i="5"/>
  <c r="E24" i="5"/>
  <c r="D24" i="5"/>
  <c r="C24" i="5"/>
  <c r="O24" i="5" s="1"/>
  <c r="G20" i="5"/>
  <c r="G22" i="5" s="1"/>
  <c r="G19" i="5"/>
  <c r="G21" i="5" s="1"/>
  <c r="C19" i="5"/>
  <c r="C21" i="5" s="1"/>
  <c r="N18" i="5"/>
  <c r="M18" i="5"/>
  <c r="L18" i="5"/>
  <c r="K18" i="5"/>
  <c r="J18" i="5"/>
  <c r="I18" i="5"/>
  <c r="H18" i="5"/>
  <c r="G18" i="5"/>
  <c r="F18" i="5"/>
  <c r="E18" i="5"/>
  <c r="D18" i="5"/>
  <c r="C18" i="5"/>
  <c r="O18" i="5" s="1"/>
  <c r="N17" i="5"/>
  <c r="M17" i="5"/>
  <c r="L17" i="5"/>
  <c r="K17" i="5"/>
  <c r="J17" i="5"/>
  <c r="I17" i="5"/>
  <c r="H17" i="5"/>
  <c r="G17" i="5"/>
  <c r="O17" i="5" s="1"/>
  <c r="F17" i="5"/>
  <c r="E17" i="5"/>
  <c r="D17" i="5"/>
  <c r="C17" i="5"/>
  <c r="N16" i="5"/>
  <c r="M16" i="5"/>
  <c r="M20" i="5" s="1"/>
  <c r="M22" i="5" s="1"/>
  <c r="L16" i="5"/>
  <c r="C16" i="5"/>
  <c r="C20" i="5" s="1"/>
  <c r="N15" i="5"/>
  <c r="M15" i="5"/>
  <c r="L15" i="5"/>
  <c r="K15" i="5"/>
  <c r="K16" i="5" s="1"/>
  <c r="J15" i="5"/>
  <c r="J16" i="5" s="1"/>
  <c r="I15" i="5"/>
  <c r="H15" i="5"/>
  <c r="G15" i="5"/>
  <c r="F15" i="5"/>
  <c r="E15" i="5"/>
  <c r="D15" i="5"/>
  <c r="C15" i="5"/>
  <c r="N14" i="5"/>
  <c r="M14" i="5"/>
  <c r="L14" i="5"/>
  <c r="K14" i="5"/>
  <c r="J14" i="5"/>
  <c r="I14" i="5"/>
  <c r="H14" i="5"/>
  <c r="G14" i="5"/>
  <c r="G16" i="5" s="1"/>
  <c r="F14" i="5"/>
  <c r="F16" i="5" s="1"/>
  <c r="F20" i="5" s="1"/>
  <c r="F22" i="5" s="1"/>
  <c r="E14" i="5"/>
  <c r="E16" i="5" s="1"/>
  <c r="E20" i="5" s="1"/>
  <c r="E22" i="5" s="1"/>
  <c r="D14" i="5"/>
  <c r="D16" i="5" s="1"/>
  <c r="C14" i="5"/>
  <c r="N11" i="5"/>
  <c r="N27" i="5" s="1"/>
  <c r="G11" i="5"/>
  <c r="G27" i="5" s="1"/>
  <c r="C11" i="5"/>
  <c r="N10" i="5"/>
  <c r="M10" i="5"/>
  <c r="L10" i="5"/>
  <c r="K10" i="5"/>
  <c r="J10" i="5"/>
  <c r="I10" i="5"/>
  <c r="H10" i="5"/>
  <c r="G10" i="5"/>
  <c r="F10" i="5"/>
  <c r="E10" i="5"/>
  <c r="E11" i="5" s="1"/>
  <c r="E27" i="5" s="1"/>
  <c r="D10" i="5"/>
  <c r="O10" i="5" s="1"/>
  <c r="C10" i="5"/>
  <c r="N9" i="5"/>
  <c r="M9" i="5"/>
  <c r="L9" i="5"/>
  <c r="K9" i="5"/>
  <c r="J9" i="5"/>
  <c r="J11" i="5" s="1"/>
  <c r="J27" i="5" s="1"/>
  <c r="I9" i="5"/>
  <c r="I11" i="5" s="1"/>
  <c r="I27" i="5" s="1"/>
  <c r="H9" i="5"/>
  <c r="H11" i="5" s="1"/>
  <c r="H27" i="5" s="1"/>
  <c r="G9" i="5"/>
  <c r="F9" i="5"/>
  <c r="F11" i="5" s="1"/>
  <c r="F27" i="5" s="1"/>
  <c r="E9" i="5"/>
  <c r="D9" i="5"/>
  <c r="D11" i="5" s="1"/>
  <c r="C9" i="5"/>
  <c r="N8" i="5"/>
  <c r="J8" i="5"/>
  <c r="N7" i="5"/>
  <c r="M7" i="5"/>
  <c r="L7" i="5"/>
  <c r="K7" i="5"/>
  <c r="J7" i="5"/>
  <c r="I7" i="5"/>
  <c r="H7" i="5"/>
  <c r="G7" i="5"/>
  <c r="F7" i="5"/>
  <c r="E7" i="5"/>
  <c r="D7" i="5"/>
  <c r="C7" i="5"/>
  <c r="C6" i="5"/>
  <c r="C8" i="5" s="1"/>
  <c r="C26" i="5" s="1"/>
  <c r="C29" i="5" s="1"/>
  <c r="C31" i="4"/>
  <c r="H29" i="4"/>
  <c r="E28" i="4"/>
  <c r="D28" i="4"/>
  <c r="C28" i="4"/>
  <c r="N25" i="4"/>
  <c r="N29" i="4" s="1"/>
  <c r="I25" i="4"/>
  <c r="I29" i="4" s="1"/>
  <c r="H25" i="4"/>
  <c r="E25" i="4"/>
  <c r="E29" i="4" s="1"/>
  <c r="N24" i="4"/>
  <c r="L24" i="4"/>
  <c r="L25" i="4" s="1"/>
  <c r="L29" i="4" s="1"/>
  <c r="K24" i="4"/>
  <c r="K25" i="4" s="1"/>
  <c r="K29" i="4" s="1"/>
  <c r="J24" i="4"/>
  <c r="J25" i="4" s="1"/>
  <c r="J29" i="4" s="1"/>
  <c r="I24" i="4"/>
  <c r="H24" i="4"/>
  <c r="G24" i="4"/>
  <c r="G25" i="4" s="1"/>
  <c r="G29" i="4" s="1"/>
  <c r="F24" i="4"/>
  <c r="F25" i="4" s="1"/>
  <c r="F29" i="4" s="1"/>
  <c r="E24" i="4"/>
  <c r="C24" i="4"/>
  <c r="C25" i="4" s="1"/>
  <c r="O23" i="4"/>
  <c r="N22" i="4"/>
  <c r="M22" i="4"/>
  <c r="L22" i="4"/>
  <c r="K22" i="4"/>
  <c r="J22" i="4"/>
  <c r="I22" i="4"/>
  <c r="H22" i="4"/>
  <c r="G22" i="4"/>
  <c r="F22" i="4"/>
  <c r="E22" i="4"/>
  <c r="D22" i="4"/>
  <c r="C22" i="4"/>
  <c r="N21" i="4"/>
  <c r="M21" i="4"/>
  <c r="L21" i="4"/>
  <c r="K21" i="4"/>
  <c r="J21" i="4"/>
  <c r="I21" i="4"/>
  <c r="H21" i="4"/>
  <c r="G21" i="4"/>
  <c r="F21" i="4"/>
  <c r="E21" i="4"/>
  <c r="D21" i="4"/>
  <c r="C21" i="4"/>
  <c r="N17" i="4"/>
  <c r="M17" i="4"/>
  <c r="L17" i="4"/>
  <c r="L28" i="4" s="1"/>
  <c r="I17" i="4"/>
  <c r="I28" i="4" s="1"/>
  <c r="E17" i="4"/>
  <c r="D17" i="4"/>
  <c r="C17" i="4"/>
  <c r="K16" i="4"/>
  <c r="J16" i="4"/>
  <c r="I16" i="4"/>
  <c r="N15" i="4"/>
  <c r="N16" i="4" s="1"/>
  <c r="M15" i="4"/>
  <c r="L15" i="4"/>
  <c r="K15" i="4"/>
  <c r="K17" i="4" s="1"/>
  <c r="J15" i="4"/>
  <c r="J17" i="4" s="1"/>
  <c r="I15" i="4"/>
  <c r="H15" i="4"/>
  <c r="H16" i="4" s="1"/>
  <c r="G15" i="4"/>
  <c r="G17" i="4" s="1"/>
  <c r="F15" i="4"/>
  <c r="F17" i="4" s="1"/>
  <c r="E15" i="4"/>
  <c r="D15" i="4"/>
  <c r="C15" i="4"/>
  <c r="O15" i="4" s="1"/>
  <c r="O14" i="4"/>
  <c r="N13" i="4"/>
  <c r="N6" i="5" s="1"/>
  <c r="M13" i="4"/>
  <c r="M16" i="4" s="1"/>
  <c r="L13" i="4"/>
  <c r="L6" i="5" s="1"/>
  <c r="L8" i="5" s="1"/>
  <c r="K13" i="4"/>
  <c r="K6" i="5" s="1"/>
  <c r="K8" i="5" s="1"/>
  <c r="J13" i="4"/>
  <c r="J6" i="5" s="1"/>
  <c r="I13" i="4"/>
  <c r="I6" i="5" s="1"/>
  <c r="I8" i="5" s="1"/>
  <c r="H13" i="4"/>
  <c r="H6" i="5" s="1"/>
  <c r="H8" i="5" s="1"/>
  <c r="G13" i="4"/>
  <c r="G6" i="5" s="1"/>
  <c r="G8" i="5" s="1"/>
  <c r="F13" i="4"/>
  <c r="F16" i="4" s="1"/>
  <c r="E13" i="4"/>
  <c r="E6" i="5" s="1"/>
  <c r="E8" i="5" s="1"/>
  <c r="D13" i="4"/>
  <c r="D16" i="4" s="1"/>
  <c r="C13" i="4"/>
  <c r="O13" i="4" s="1"/>
  <c r="O12" i="4" s="1"/>
  <c r="O11" i="4"/>
  <c r="N9" i="4"/>
  <c r="N7" i="7" s="1"/>
  <c r="M9" i="4"/>
  <c r="M7" i="7" s="1"/>
  <c r="L9" i="4"/>
  <c r="L7" i="7" s="1"/>
  <c r="K9" i="4"/>
  <c r="K7" i="7" s="1"/>
  <c r="J9" i="4"/>
  <c r="J7" i="7" s="1"/>
  <c r="I9" i="4"/>
  <c r="I7" i="7" s="1"/>
  <c r="H9" i="4"/>
  <c r="H7" i="7" s="1"/>
  <c r="G9" i="4"/>
  <c r="G7" i="7" s="1"/>
  <c r="G43" i="7" s="1"/>
  <c r="F9" i="4"/>
  <c r="F7" i="7" s="1"/>
  <c r="E9" i="4"/>
  <c r="E7" i="7" s="1"/>
  <c r="D9" i="4"/>
  <c r="D7" i="7" s="1"/>
  <c r="C9" i="4"/>
  <c r="C7" i="7" s="1"/>
  <c r="N8" i="4"/>
  <c r="N6" i="7" s="1"/>
  <c r="N14" i="7" s="1"/>
  <c r="M8" i="4"/>
  <c r="M6" i="7" s="1"/>
  <c r="L8" i="4"/>
  <c r="L6" i="7" s="1"/>
  <c r="K8" i="4"/>
  <c r="K6" i="7" s="1"/>
  <c r="J8" i="4"/>
  <c r="J6" i="7" s="1"/>
  <c r="I8" i="4"/>
  <c r="I6" i="7" s="1"/>
  <c r="H8" i="4"/>
  <c r="H6" i="7" s="1"/>
  <c r="H12" i="7" s="1"/>
  <c r="G8" i="4"/>
  <c r="G6" i="7" s="1"/>
  <c r="G12" i="7" s="1"/>
  <c r="F8" i="4"/>
  <c r="F6" i="7" s="1"/>
  <c r="F12" i="7" s="1"/>
  <c r="E8" i="4"/>
  <c r="E6" i="7" s="1"/>
  <c r="D8" i="4"/>
  <c r="D6" i="7" s="1"/>
  <c r="C8" i="4"/>
  <c r="C6" i="7" s="1"/>
  <c r="O7" i="4"/>
  <c r="K19" i="5" l="1"/>
  <c r="K21" i="5" s="1"/>
  <c r="K20" i="5"/>
  <c r="K22" i="5" s="1"/>
  <c r="F41" i="9"/>
  <c r="F8" i="8"/>
  <c r="I7" i="8"/>
  <c r="I26" i="9"/>
  <c r="G41" i="9"/>
  <c r="G8" i="8"/>
  <c r="F47" i="8"/>
  <c r="F44" i="7"/>
  <c r="F29" i="9" s="1"/>
  <c r="F35" i="9"/>
  <c r="F28" i="4"/>
  <c r="L26" i="9"/>
  <c r="L7" i="8"/>
  <c r="M20" i="9"/>
  <c r="M42" i="7"/>
  <c r="M46" i="8"/>
  <c r="M18" i="4"/>
  <c r="M19" i="4" s="1"/>
  <c r="M27" i="4"/>
  <c r="D20" i="5"/>
  <c r="D22" i="5" s="1"/>
  <c r="D19" i="5"/>
  <c r="D21" i="5" s="1"/>
  <c r="D46" i="8"/>
  <c r="D20" i="9"/>
  <c r="D42" i="7"/>
  <c r="D18" i="4"/>
  <c r="D27" i="4"/>
  <c r="D19" i="4"/>
  <c r="G35" i="9"/>
  <c r="G47" i="8"/>
  <c r="G44" i="7"/>
  <c r="G29" i="9" s="1"/>
  <c r="G28" i="4"/>
  <c r="E12" i="5"/>
  <c r="E25" i="5" s="1"/>
  <c r="E26" i="5"/>
  <c r="H46" i="8"/>
  <c r="H20" i="9"/>
  <c r="H42" i="7"/>
  <c r="H27" i="4"/>
  <c r="J8" i="8"/>
  <c r="J41" i="9"/>
  <c r="C43" i="7"/>
  <c r="O7" i="7"/>
  <c r="C46" i="7"/>
  <c r="F20" i="9"/>
  <c r="F46" i="8"/>
  <c r="F42" i="7"/>
  <c r="F18" i="4"/>
  <c r="F19" i="4" s="1"/>
  <c r="F27" i="4"/>
  <c r="K8" i="8"/>
  <c r="K41" i="9"/>
  <c r="D43" i="7"/>
  <c r="D46" i="7"/>
  <c r="D29" i="8" s="1"/>
  <c r="G12" i="5"/>
  <c r="G25" i="5" s="1"/>
  <c r="G24" i="7" s="1"/>
  <c r="G26" i="5"/>
  <c r="G29" i="5" s="1"/>
  <c r="J35" i="9"/>
  <c r="J47" i="8"/>
  <c r="J44" i="7"/>
  <c r="J29" i="9" s="1"/>
  <c r="J28" i="4"/>
  <c r="L41" i="9"/>
  <c r="L8" i="8"/>
  <c r="H8" i="9"/>
  <c r="H9" i="9" s="1"/>
  <c r="H12" i="5"/>
  <c r="H25" i="5" s="1"/>
  <c r="H26" i="5"/>
  <c r="K47" i="8"/>
  <c r="K44" i="7"/>
  <c r="K29" i="9" s="1"/>
  <c r="K35" i="9"/>
  <c r="K28" i="4"/>
  <c r="J30" i="5"/>
  <c r="C29" i="4"/>
  <c r="I8" i="9"/>
  <c r="I9" i="9" s="1"/>
  <c r="I12" i="5"/>
  <c r="I25" i="5" s="1"/>
  <c r="I26" i="5"/>
  <c r="E8" i="8"/>
  <c r="E41" i="9"/>
  <c r="J19" i="5"/>
  <c r="J21" i="5" s="1"/>
  <c r="J20" i="5"/>
  <c r="J22" i="5" s="1"/>
  <c r="N20" i="9"/>
  <c r="N42" i="7"/>
  <c r="N46" i="8"/>
  <c r="N18" i="4"/>
  <c r="N27" i="4"/>
  <c r="N19" i="4"/>
  <c r="I41" i="9"/>
  <c r="I8" i="8"/>
  <c r="L8" i="9"/>
  <c r="L9" i="9" s="1"/>
  <c r="L12" i="5"/>
  <c r="L25" i="5" s="1"/>
  <c r="L26" i="5"/>
  <c r="N8" i="8"/>
  <c r="N41" i="9"/>
  <c r="H41" i="9"/>
  <c r="H8" i="8"/>
  <c r="C17" i="7"/>
  <c r="C18" i="7"/>
  <c r="C19" i="7"/>
  <c r="C9" i="7"/>
  <c r="C20" i="7"/>
  <c r="C15" i="7"/>
  <c r="C10" i="7"/>
  <c r="O10" i="7" s="1"/>
  <c r="C12" i="7"/>
  <c r="C14" i="7"/>
  <c r="C11" i="7"/>
  <c r="C13" i="7"/>
  <c r="C16" i="7"/>
  <c r="F43" i="7"/>
  <c r="F46" i="7"/>
  <c r="F29" i="8" s="1"/>
  <c r="L16" i="4"/>
  <c r="K11" i="5"/>
  <c r="K27" i="5" s="1"/>
  <c r="K30" i="5" s="1"/>
  <c r="G10" i="7"/>
  <c r="J46" i="8"/>
  <c r="J20" i="9"/>
  <c r="J42" i="7"/>
  <c r="D26" i="9"/>
  <c r="D7" i="8"/>
  <c r="N47" i="8"/>
  <c r="N35" i="9"/>
  <c r="N44" i="7"/>
  <c r="N29" i="9" s="1"/>
  <c r="F6" i="5"/>
  <c r="F8" i="5" s="1"/>
  <c r="D17" i="7"/>
  <c r="D34" i="7" s="1"/>
  <c r="D30" i="8" s="1"/>
  <c r="D12" i="7"/>
  <c r="D18" i="7"/>
  <c r="D13" i="7"/>
  <c r="D19" i="7"/>
  <c r="D14" i="7"/>
  <c r="D20" i="7"/>
  <c r="D15" i="7"/>
  <c r="D10" i="7"/>
  <c r="D11" i="7"/>
  <c r="D9" i="7"/>
  <c r="D16" i="7"/>
  <c r="L11" i="5"/>
  <c r="L27" i="5" s="1"/>
  <c r="H16" i="5"/>
  <c r="O16" i="5" s="1"/>
  <c r="H10" i="7"/>
  <c r="C34" i="7"/>
  <c r="E12" i="7"/>
  <c r="E18" i="7"/>
  <c r="E14" i="7"/>
  <c r="E15" i="7"/>
  <c r="E10" i="7"/>
  <c r="E16" i="7"/>
  <c r="E11" i="7"/>
  <c r="E9" i="7"/>
  <c r="E17" i="7"/>
  <c r="E34" i="7" s="1"/>
  <c r="E30" i="8" s="1"/>
  <c r="E13" i="7"/>
  <c r="E20" i="7"/>
  <c r="H46" i="7"/>
  <c r="H29" i="8" s="1"/>
  <c r="H43" i="7"/>
  <c r="M11" i="5"/>
  <c r="M27" i="5" s="1"/>
  <c r="M30" i="5" s="1"/>
  <c r="C27" i="5"/>
  <c r="I16" i="5"/>
  <c r="C26" i="9"/>
  <c r="C7" i="8"/>
  <c r="M47" i="8"/>
  <c r="M35" i="9"/>
  <c r="M44" i="7"/>
  <c r="M29" i="9" s="1"/>
  <c r="K46" i="8"/>
  <c r="K20" i="9"/>
  <c r="K42" i="7"/>
  <c r="E26" i="9"/>
  <c r="E7" i="8"/>
  <c r="F18" i="7"/>
  <c r="F19" i="7"/>
  <c r="F20" i="7"/>
  <c r="F10" i="7"/>
  <c r="F16" i="7"/>
  <c r="F11" i="7"/>
  <c r="F14" i="7"/>
  <c r="F9" i="7"/>
  <c r="F17" i="7"/>
  <c r="F13" i="7"/>
  <c r="I46" i="7"/>
  <c r="I29" i="8" s="1"/>
  <c r="I43" i="7"/>
  <c r="O7" i="5"/>
  <c r="G30" i="5"/>
  <c r="G18" i="7"/>
  <c r="G13" i="7"/>
  <c r="G19" i="7"/>
  <c r="G14" i="7"/>
  <c r="G20" i="7"/>
  <c r="G15" i="7"/>
  <c r="G16" i="7"/>
  <c r="G11" i="7"/>
  <c r="G9" i="7"/>
  <c r="G17" i="7"/>
  <c r="J12" i="5"/>
  <c r="J25" i="5" s="1"/>
  <c r="J24" i="7" s="1"/>
  <c r="O9" i="5"/>
  <c r="C22" i="5"/>
  <c r="H13" i="7"/>
  <c r="H19" i="7"/>
  <c r="H35" i="7" s="1"/>
  <c r="H31" i="8" s="1"/>
  <c r="H14" i="7"/>
  <c r="H9" i="7"/>
  <c r="H15" i="7"/>
  <c r="H16" i="7"/>
  <c r="H11" i="7"/>
  <c r="H17" i="7"/>
  <c r="H34" i="7" s="1"/>
  <c r="H30" i="8" s="1"/>
  <c r="H18" i="7"/>
  <c r="H20" i="7"/>
  <c r="K46" i="7"/>
  <c r="K29" i="8" s="1"/>
  <c r="K43" i="7"/>
  <c r="D47" i="8"/>
  <c r="D44" i="7"/>
  <c r="D29" i="9" s="1"/>
  <c r="D35" i="9"/>
  <c r="I19" i="7"/>
  <c r="I35" i="7" s="1"/>
  <c r="I31" i="8" s="1"/>
  <c r="I20" i="7"/>
  <c r="I11" i="7"/>
  <c r="I17" i="7"/>
  <c r="I34" i="7" s="1"/>
  <c r="I30" i="8" s="1"/>
  <c r="I12" i="7"/>
  <c r="I18" i="7"/>
  <c r="I14" i="7"/>
  <c r="I9" i="7"/>
  <c r="I13" i="7"/>
  <c r="I16" i="7"/>
  <c r="I10" i="7"/>
  <c r="L46" i="7"/>
  <c r="L29" i="8" s="1"/>
  <c r="L43" i="7"/>
  <c r="M6" i="5"/>
  <c r="M8" i="5" s="1"/>
  <c r="C6" i="6"/>
  <c r="E47" i="8"/>
  <c r="E44" i="7"/>
  <c r="E29" i="9" s="1"/>
  <c r="E35" i="9"/>
  <c r="I27" i="4"/>
  <c r="N8" i="9"/>
  <c r="N9" i="9" s="1"/>
  <c r="N12" i="5"/>
  <c r="N25" i="5" s="1"/>
  <c r="N26" i="5"/>
  <c r="J26" i="5"/>
  <c r="J29" i="5" s="1"/>
  <c r="F15" i="7"/>
  <c r="C35" i="9"/>
  <c r="C47" i="8"/>
  <c r="C44" i="7"/>
  <c r="J19" i="7"/>
  <c r="J14" i="7"/>
  <c r="J20" i="7"/>
  <c r="J15" i="7"/>
  <c r="J16" i="7"/>
  <c r="J17" i="7"/>
  <c r="J12" i="7"/>
  <c r="J18" i="7"/>
  <c r="J34" i="7" s="1"/>
  <c r="J30" i="8" s="1"/>
  <c r="J9" i="7"/>
  <c r="J11" i="7"/>
  <c r="J13" i="7"/>
  <c r="J10" i="7"/>
  <c r="M46" i="7"/>
  <c r="M29" i="8" s="1"/>
  <c r="M43" i="7"/>
  <c r="C16" i="4"/>
  <c r="I18" i="4"/>
  <c r="I19" i="4" s="1"/>
  <c r="J27" i="4"/>
  <c r="M28" i="4"/>
  <c r="E30" i="5"/>
  <c r="C12" i="5"/>
  <c r="C8" i="9" s="1"/>
  <c r="E19" i="5"/>
  <c r="E21" i="5" s="1"/>
  <c r="I15" i="7"/>
  <c r="L47" i="8"/>
  <c r="L35" i="9"/>
  <c r="L44" i="7"/>
  <c r="L29" i="9" s="1"/>
  <c r="D6" i="5"/>
  <c r="D8" i="5" s="1"/>
  <c r="K14" i="7"/>
  <c r="K9" i="7"/>
  <c r="K20" i="7"/>
  <c r="K15" i="7"/>
  <c r="K10" i="7"/>
  <c r="K16" i="7"/>
  <c r="K17" i="7"/>
  <c r="K12" i="7"/>
  <c r="K18" i="7"/>
  <c r="K11" i="7"/>
  <c r="K13" i="7"/>
  <c r="N46" i="7"/>
  <c r="N29" i="8" s="1"/>
  <c r="N43" i="7"/>
  <c r="J18" i="4"/>
  <c r="J19" i="4" s="1"/>
  <c r="K27" i="4"/>
  <c r="N28" i="4"/>
  <c r="L19" i="5"/>
  <c r="L21" i="5" s="1"/>
  <c r="L20" i="5"/>
  <c r="L22" i="5" s="1"/>
  <c r="F19" i="5"/>
  <c r="F21" i="5" s="1"/>
  <c r="L9" i="7"/>
  <c r="L20" i="7"/>
  <c r="L15" i="7"/>
  <c r="L12" i="7"/>
  <c r="L18" i="7"/>
  <c r="L13" i="7"/>
  <c r="L14" i="7"/>
  <c r="L11" i="7"/>
  <c r="L17" i="7"/>
  <c r="L34" i="7" s="1"/>
  <c r="L30" i="8" s="1"/>
  <c r="L16" i="7"/>
  <c r="L10" i="7"/>
  <c r="L19" i="7"/>
  <c r="L35" i="7" s="1"/>
  <c r="L31" i="8" s="1"/>
  <c r="O9" i="4"/>
  <c r="E16" i="4"/>
  <c r="H17" i="4"/>
  <c r="K18" i="4"/>
  <c r="K19" i="4" s="1"/>
  <c r="D27" i="5"/>
  <c r="D30" i="5" s="1"/>
  <c r="D35" i="7"/>
  <c r="D31" i="8" s="1"/>
  <c r="O50" i="5"/>
  <c r="E19" i="7"/>
  <c r="G46" i="7"/>
  <c r="G29" i="8" s="1"/>
  <c r="E43" i="7"/>
  <c r="E46" i="7"/>
  <c r="E29" i="8" s="1"/>
  <c r="K26" i="5"/>
  <c r="K29" i="5" s="1"/>
  <c r="M20" i="7"/>
  <c r="M15" i="7"/>
  <c r="M16" i="7"/>
  <c r="M17" i="7"/>
  <c r="M34" i="7" s="1"/>
  <c r="M30" i="8" s="1"/>
  <c r="M18" i="7"/>
  <c r="M13" i="7"/>
  <c r="M14" i="7"/>
  <c r="M9" i="7"/>
  <c r="M11" i="7"/>
  <c r="M10" i="7"/>
  <c r="M19" i="7"/>
  <c r="M12" i="7"/>
  <c r="I35" i="9"/>
  <c r="I44" i="7"/>
  <c r="I29" i="9" s="1"/>
  <c r="I47" i="8"/>
  <c r="N19" i="5"/>
  <c r="N21" i="5" s="1"/>
  <c r="N20" i="5"/>
  <c r="N22" i="5" s="1"/>
  <c r="N34" i="7"/>
  <c r="N30" i="8" s="1"/>
  <c r="E35" i="7"/>
  <c r="E31" i="8" s="1"/>
  <c r="K19" i="7"/>
  <c r="K35" i="7" s="1"/>
  <c r="K31" i="8" s="1"/>
  <c r="N15" i="7"/>
  <c r="N10" i="7"/>
  <c r="N16" i="7"/>
  <c r="N11" i="7"/>
  <c r="N17" i="7"/>
  <c r="N18" i="7"/>
  <c r="N13" i="7"/>
  <c r="N19" i="7"/>
  <c r="N35" i="7" s="1"/>
  <c r="N31" i="8" s="1"/>
  <c r="N9" i="7"/>
  <c r="N20" i="7"/>
  <c r="N12" i="7"/>
  <c r="G16" i="4"/>
  <c r="F30" i="5"/>
  <c r="K12" i="5"/>
  <c r="K25" i="5" s="1"/>
  <c r="M19" i="5"/>
  <c r="M21" i="5" s="1"/>
  <c r="F35" i="7"/>
  <c r="F31" i="8" s="1"/>
  <c r="I46" i="8"/>
  <c r="I20" i="9"/>
  <c r="I42" i="7"/>
  <c r="J46" i="7"/>
  <c r="J29" i="8" s="1"/>
  <c r="J43" i="7"/>
  <c r="O8" i="4"/>
  <c r="O14" i="5"/>
  <c r="O15" i="5"/>
  <c r="O49" i="5"/>
  <c r="G35" i="7"/>
  <c r="G31" i="8" s="1"/>
  <c r="O6" i="7"/>
  <c r="J35" i="7"/>
  <c r="J31" i="8" s="1"/>
  <c r="F34" i="7"/>
  <c r="F30" i="8" s="1"/>
  <c r="G34" i="7"/>
  <c r="G30" i="8" s="1"/>
  <c r="M35" i="7"/>
  <c r="M31" i="8" s="1"/>
  <c r="O39" i="8"/>
  <c r="K34" i="7"/>
  <c r="K30" i="8" s="1"/>
  <c r="C35" i="7"/>
  <c r="M20" i="10"/>
  <c r="C9" i="9" l="1"/>
  <c r="O21" i="5"/>
  <c r="C60" i="9" s="1"/>
  <c r="J13" i="8"/>
  <c r="G31" i="5"/>
  <c r="O35" i="9"/>
  <c r="D47" i="9" s="1"/>
  <c r="F7" i="8"/>
  <c r="F26" i="9"/>
  <c r="K24" i="7"/>
  <c r="O9" i="7"/>
  <c r="N11" i="9"/>
  <c r="N6" i="8"/>
  <c r="N9" i="8" s="1"/>
  <c r="N30" i="4"/>
  <c r="G8" i="9"/>
  <c r="G9" i="9" s="1"/>
  <c r="O43" i="7"/>
  <c r="K7" i="8"/>
  <c r="K26" i="9"/>
  <c r="N26" i="9"/>
  <c r="N7" i="8"/>
  <c r="D26" i="5"/>
  <c r="D12" i="5"/>
  <c r="D25" i="5" s="1"/>
  <c r="D24" i="7" s="1"/>
  <c r="J6" i="9"/>
  <c r="J7" i="9" s="1"/>
  <c r="J31" i="5"/>
  <c r="O19" i="7"/>
  <c r="D14" i="9"/>
  <c r="D16" i="8"/>
  <c r="J16" i="8"/>
  <c r="J14" i="9"/>
  <c r="G20" i="9"/>
  <c r="G46" i="8"/>
  <c r="G42" i="7"/>
  <c r="G18" i="4"/>
  <c r="G27" i="4"/>
  <c r="G19" i="4"/>
  <c r="K31" i="5"/>
  <c r="K11" i="9"/>
  <c r="K6" i="8"/>
  <c r="K9" i="8" s="1"/>
  <c r="K30" i="4"/>
  <c r="N29" i="5"/>
  <c r="O18" i="7"/>
  <c r="H6" i="8"/>
  <c r="H11" i="9"/>
  <c r="H35" i="9"/>
  <c r="H44" i="7"/>
  <c r="H29" i="9" s="1"/>
  <c r="H47" i="8"/>
  <c r="O47" i="8" s="1"/>
  <c r="C15" i="2" s="1"/>
  <c r="H28" i="4"/>
  <c r="J8" i="9"/>
  <c r="J9" i="9" s="1"/>
  <c r="J28" i="9" s="1"/>
  <c r="D11" i="9"/>
  <c r="D6" i="8"/>
  <c r="D24" i="4"/>
  <c r="K8" i="9"/>
  <c r="K9" i="9" s="1"/>
  <c r="N24" i="7"/>
  <c r="O17" i="7"/>
  <c r="N14" i="9"/>
  <c r="N16" i="8"/>
  <c r="H18" i="4"/>
  <c r="H19" i="4" s="1"/>
  <c r="O11" i="5"/>
  <c r="C29" i="9"/>
  <c r="O29" i="9" s="1"/>
  <c r="O44" i="7"/>
  <c r="C46" i="8"/>
  <c r="C42" i="7"/>
  <c r="C20" i="9"/>
  <c r="O20" i="9" s="1"/>
  <c r="C47" i="9" s="1"/>
  <c r="O16" i="4"/>
  <c r="C19" i="4"/>
  <c r="C18" i="4"/>
  <c r="C27" i="4"/>
  <c r="O20" i="7"/>
  <c r="G13" i="8"/>
  <c r="G13" i="9"/>
  <c r="G28" i="9"/>
  <c r="I19" i="5"/>
  <c r="I21" i="5" s="1"/>
  <c r="I20" i="5"/>
  <c r="H24" i="7"/>
  <c r="H16" i="8"/>
  <c r="H14" i="9"/>
  <c r="I6" i="8"/>
  <c r="I9" i="8" s="1"/>
  <c r="I11" i="9"/>
  <c r="I30" i="4"/>
  <c r="O27" i="5"/>
  <c r="C30" i="5"/>
  <c r="L20" i="9"/>
  <c r="L42" i="7"/>
  <c r="L46" i="8"/>
  <c r="L18" i="4"/>
  <c r="L19" i="4" s="1"/>
  <c r="L27" i="4"/>
  <c r="O15" i="7"/>
  <c r="O17" i="4"/>
  <c r="C8" i="8"/>
  <c r="C41" i="9"/>
  <c r="C31" i="8"/>
  <c r="O31" i="8" s="1"/>
  <c r="B21" i="11" s="1"/>
  <c r="O35" i="7"/>
  <c r="O6" i="5"/>
  <c r="F11" i="9"/>
  <c r="F6" i="8"/>
  <c r="F30" i="4"/>
  <c r="E29" i="5"/>
  <c r="O12" i="5"/>
  <c r="C25" i="5"/>
  <c r="C30" i="8"/>
  <c r="O30" i="8" s="1"/>
  <c r="B20" i="11" s="1"/>
  <c r="O34" i="7"/>
  <c r="O16" i="7"/>
  <c r="E24" i="7"/>
  <c r="M6" i="8"/>
  <c r="M11" i="9"/>
  <c r="M24" i="4"/>
  <c r="M25" i="4" s="1"/>
  <c r="M29" i="4" s="1"/>
  <c r="M30" i="4" s="1"/>
  <c r="O19" i="5"/>
  <c r="C59" i="9" s="1"/>
  <c r="F8" i="9"/>
  <c r="F9" i="9" s="1"/>
  <c r="F12" i="5"/>
  <c r="F25" i="5" s="1"/>
  <c r="F24" i="7" s="1"/>
  <c r="F26" i="5"/>
  <c r="F29" i="5" s="1"/>
  <c r="O13" i="7"/>
  <c r="L29" i="5"/>
  <c r="I29" i="5"/>
  <c r="F14" i="9"/>
  <c r="F16" i="8"/>
  <c r="E8" i="9"/>
  <c r="E9" i="9" s="1"/>
  <c r="E20" i="9"/>
  <c r="E46" i="8"/>
  <c r="E42" i="7"/>
  <c r="E18" i="4"/>
  <c r="E27" i="4"/>
  <c r="E19" i="4"/>
  <c r="O8" i="5"/>
  <c r="C8" i="6"/>
  <c r="C36" i="6"/>
  <c r="O11" i="7"/>
  <c r="L24" i="7"/>
  <c r="I24" i="7"/>
  <c r="J7" i="8"/>
  <c r="J26" i="9"/>
  <c r="G26" i="9"/>
  <c r="G7" i="8"/>
  <c r="I16" i="8"/>
  <c r="I14" i="9"/>
  <c r="M26" i="9"/>
  <c r="M7" i="8"/>
  <c r="M8" i="9"/>
  <c r="M9" i="9" s="1"/>
  <c r="M12" i="5"/>
  <c r="M25" i="5" s="1"/>
  <c r="M24" i="7" s="1"/>
  <c r="M26" i="5"/>
  <c r="M29" i="5" s="1"/>
  <c r="H19" i="5"/>
  <c r="H21" i="5" s="1"/>
  <c r="H20" i="5"/>
  <c r="O14" i="7"/>
  <c r="M14" i="9"/>
  <c r="M16" i="8"/>
  <c r="O28" i="4"/>
  <c r="O22" i="4" s="1"/>
  <c r="J11" i="9"/>
  <c r="J6" i="8"/>
  <c r="J9" i="8" s="1"/>
  <c r="J30" i="4"/>
  <c r="K14" i="9"/>
  <c r="K16" i="8"/>
  <c r="L30" i="5"/>
  <c r="O12" i="7"/>
  <c r="N30" i="5"/>
  <c r="O46" i="7"/>
  <c r="C29" i="8"/>
  <c r="O29" i="8" s="1"/>
  <c r="B19" i="11" s="1"/>
  <c r="M53" i="7" l="1"/>
  <c r="N13" i="8"/>
  <c r="N28" i="9"/>
  <c r="N13" i="9"/>
  <c r="J52" i="8"/>
  <c r="J27" i="2"/>
  <c r="I52" i="8"/>
  <c r="I27" i="2"/>
  <c r="C16" i="8"/>
  <c r="O16" i="8" s="1"/>
  <c r="B10" i="11" s="1"/>
  <c r="C14" i="9"/>
  <c r="O14" i="9" s="1"/>
  <c r="O42" i="7"/>
  <c r="K52" i="8"/>
  <c r="K27" i="2"/>
  <c r="N53" i="7"/>
  <c r="N31" i="4"/>
  <c r="N31" i="5"/>
  <c r="E16" i="8"/>
  <c r="E14" i="9"/>
  <c r="O46" i="8"/>
  <c r="C14" i="2" s="1"/>
  <c r="J48" i="8"/>
  <c r="J31" i="2" s="1"/>
  <c r="J22" i="7"/>
  <c r="K13" i="9"/>
  <c r="K28" i="9"/>
  <c r="K13" i="8"/>
  <c r="N52" i="8"/>
  <c r="N27" i="2"/>
  <c r="D25" i="4"/>
  <c r="O24" i="4"/>
  <c r="K48" i="8"/>
  <c r="K31" i="2" s="1"/>
  <c r="K22" i="7"/>
  <c r="K53" i="7"/>
  <c r="K31" i="4"/>
  <c r="E28" i="9"/>
  <c r="E13" i="9"/>
  <c r="E13" i="8"/>
  <c r="K6" i="9"/>
  <c r="K7" i="9" s="1"/>
  <c r="D13" i="9"/>
  <c r="D13" i="8"/>
  <c r="H13" i="9"/>
  <c r="H28" i="9"/>
  <c r="H13" i="8"/>
  <c r="D29" i="5"/>
  <c r="O26" i="5"/>
  <c r="I22" i="5"/>
  <c r="I30" i="5"/>
  <c r="I31" i="5" s="1"/>
  <c r="H26" i="9"/>
  <c r="H7" i="8"/>
  <c r="O7" i="8" s="1"/>
  <c r="G6" i="8"/>
  <c r="G9" i="8" s="1"/>
  <c r="G11" i="9"/>
  <c r="G30" i="4"/>
  <c r="D8" i="9"/>
  <c r="G48" i="8"/>
  <c r="G31" i="2" s="1"/>
  <c r="G22" i="7"/>
  <c r="D21" i="11"/>
  <c r="D20" i="11"/>
  <c r="H29" i="5"/>
  <c r="G6" i="9"/>
  <c r="G7" i="9" s="1"/>
  <c r="E11" i="9"/>
  <c r="E6" i="8"/>
  <c r="E9" i="8" s="1"/>
  <c r="E30" i="4"/>
  <c r="D19" i="11"/>
  <c r="H22" i="5"/>
  <c r="O22" i="5" s="1"/>
  <c r="D60" i="9" s="1"/>
  <c r="E60" i="9" s="1"/>
  <c r="O20" i="5"/>
  <c r="D59" i="9" s="1"/>
  <c r="E59" i="9" s="1"/>
  <c r="H30" i="5"/>
  <c r="C24" i="7"/>
  <c r="O25" i="5"/>
  <c r="L6" i="8"/>
  <c r="L9" i="8" s="1"/>
  <c r="L11" i="9"/>
  <c r="L30" i="4"/>
  <c r="G16" i="8"/>
  <c r="G14" i="9"/>
  <c r="I13" i="9"/>
  <c r="I13" i="8"/>
  <c r="I28" i="9"/>
  <c r="J53" i="7"/>
  <c r="J31" i="4"/>
  <c r="L13" i="9"/>
  <c r="L28" i="9"/>
  <c r="L13" i="8"/>
  <c r="L31" i="5"/>
  <c r="E31" i="5"/>
  <c r="H30" i="4"/>
  <c r="J13" i="9"/>
  <c r="M8" i="8"/>
  <c r="M9" i="8" s="1"/>
  <c r="M41" i="9"/>
  <c r="F53" i="7"/>
  <c r="L14" i="9"/>
  <c r="L16" i="8"/>
  <c r="I53" i="7"/>
  <c r="M6" i="9"/>
  <c r="M7" i="9" s="1"/>
  <c r="M31" i="5"/>
  <c r="F31" i="5"/>
  <c r="F6" i="9" s="1"/>
  <c r="F7" i="9" s="1"/>
  <c r="F9" i="8"/>
  <c r="C11" i="9"/>
  <c r="O27" i="4"/>
  <c r="O21" i="4" s="1"/>
  <c r="C6" i="8"/>
  <c r="C30" i="4"/>
  <c r="M28" i="9"/>
  <c r="M13" i="8"/>
  <c r="M13" i="9"/>
  <c r="D29" i="6"/>
  <c r="E29" i="6" s="1"/>
  <c r="D27" i="6"/>
  <c r="E27" i="6" s="1"/>
  <c r="D21" i="6"/>
  <c r="E21" i="6" s="1"/>
  <c r="D22" i="6"/>
  <c r="E22" i="6" s="1"/>
  <c r="D24" i="6"/>
  <c r="E24" i="6" s="1"/>
  <c r="D16" i="6"/>
  <c r="E16" i="6" s="1"/>
  <c r="D30" i="6"/>
  <c r="E30" i="6" s="1"/>
  <c r="D28" i="6"/>
  <c r="E28" i="6" s="1"/>
  <c r="D25" i="6"/>
  <c r="E25" i="6" s="1"/>
  <c r="D17" i="6"/>
  <c r="E17" i="6" s="1"/>
  <c r="D26" i="6"/>
  <c r="E26" i="6" s="1"/>
  <c r="D18" i="6"/>
  <c r="E18" i="6" s="1"/>
  <c r="D19" i="6"/>
  <c r="E19" i="6" s="1"/>
  <c r="D23" i="6"/>
  <c r="E23" i="6" s="1"/>
  <c r="D15" i="6"/>
  <c r="D20" i="6"/>
  <c r="E20" i="6" s="1"/>
  <c r="F13" i="9"/>
  <c r="F13" i="8"/>
  <c r="F28" i="9"/>
  <c r="O30" i="5"/>
  <c r="C31" i="5"/>
  <c r="O18" i="4"/>
  <c r="O19" i="4" s="1"/>
  <c r="O26" i="9"/>
  <c r="I48" i="8" l="1"/>
  <c r="I31" i="2" s="1"/>
  <c r="I22" i="7"/>
  <c r="I6" i="9"/>
  <c r="I7" i="9" s="1"/>
  <c r="M52" i="8"/>
  <c r="M27" i="2"/>
  <c r="D10" i="11"/>
  <c r="X22" i="6"/>
  <c r="W22" i="6"/>
  <c r="V22" i="6"/>
  <c r="U22" i="6"/>
  <c r="T22" i="6"/>
  <c r="AH22" i="6"/>
  <c r="R22" i="6"/>
  <c r="AG22" i="6"/>
  <c r="Q22" i="6"/>
  <c r="AF22" i="6"/>
  <c r="P22" i="6"/>
  <c r="AE22" i="6"/>
  <c r="O22" i="6"/>
  <c r="AD22" i="6"/>
  <c r="N22" i="6"/>
  <c r="AC22" i="6"/>
  <c r="M22" i="6"/>
  <c r="AB22" i="6"/>
  <c r="L22" i="6"/>
  <c r="AA22" i="6"/>
  <c r="Z22" i="6"/>
  <c r="Y22" i="6"/>
  <c r="S22" i="6"/>
  <c r="K22" i="6"/>
  <c r="J22" i="6"/>
  <c r="H53" i="7"/>
  <c r="H31" i="4"/>
  <c r="E52" i="8"/>
  <c r="E27" i="2"/>
  <c r="G52" i="8"/>
  <c r="G27" i="2"/>
  <c r="D9" i="9"/>
  <c r="O8" i="9"/>
  <c r="G53" i="7"/>
  <c r="G31" i="4"/>
  <c r="V21" i="6"/>
  <c r="U21" i="6"/>
  <c r="T21" i="6"/>
  <c r="S21" i="6"/>
  <c r="AH21" i="6"/>
  <c r="R21" i="6"/>
  <c r="AF21" i="6"/>
  <c r="P21" i="6"/>
  <c r="AE21" i="6"/>
  <c r="O21" i="6"/>
  <c r="AD21" i="6"/>
  <c r="N21" i="6"/>
  <c r="AC21" i="6"/>
  <c r="M21" i="6"/>
  <c r="AB21" i="6"/>
  <c r="L21" i="6"/>
  <c r="AA21" i="6"/>
  <c r="K21" i="6"/>
  <c r="Z21" i="6"/>
  <c r="J21" i="6"/>
  <c r="Q21" i="6"/>
  <c r="W21" i="6"/>
  <c r="AG21" i="6"/>
  <c r="Y21" i="6"/>
  <c r="X21" i="6"/>
  <c r="E22" i="7"/>
  <c r="E48" i="8"/>
  <c r="E31" i="2" s="1"/>
  <c r="AD28" i="6"/>
  <c r="N28" i="6"/>
  <c r="AC28" i="6"/>
  <c r="M28" i="6"/>
  <c r="Z28" i="6"/>
  <c r="J28" i="6"/>
  <c r="Q28" i="6"/>
  <c r="P28" i="6"/>
  <c r="AH28" i="6"/>
  <c r="O28" i="6"/>
  <c r="AG28" i="6"/>
  <c r="L28" i="6"/>
  <c r="AF28" i="6"/>
  <c r="K28" i="6"/>
  <c r="AE28" i="6"/>
  <c r="AB28" i="6"/>
  <c r="AA28" i="6"/>
  <c r="Y28" i="6"/>
  <c r="X28" i="6"/>
  <c r="W28" i="6"/>
  <c r="V28" i="6"/>
  <c r="U28" i="6"/>
  <c r="S28" i="6"/>
  <c r="R28" i="6"/>
  <c r="T28" i="6"/>
  <c r="AH30" i="6"/>
  <c r="R30" i="6"/>
  <c r="AG30" i="6"/>
  <c r="Q30" i="6"/>
  <c r="AD30" i="6"/>
  <c r="N30" i="6"/>
  <c r="O30" i="6"/>
  <c r="M30" i="6"/>
  <c r="AF30" i="6"/>
  <c r="L30" i="6"/>
  <c r="AE30" i="6"/>
  <c r="K30" i="6"/>
  <c r="AC30" i="6"/>
  <c r="J30" i="6"/>
  <c r="AB30" i="6"/>
  <c r="AA30" i="6"/>
  <c r="Z30" i="6"/>
  <c r="Y30" i="6"/>
  <c r="X30" i="6"/>
  <c r="W30" i="6"/>
  <c r="V30" i="6"/>
  <c r="U30" i="6"/>
  <c r="T30" i="6"/>
  <c r="S30" i="6"/>
  <c r="P30" i="6"/>
  <c r="C48" i="8"/>
  <c r="C33" i="5"/>
  <c r="C22" i="7"/>
  <c r="C6" i="9"/>
  <c r="AB27" i="6"/>
  <c r="L27" i="6"/>
  <c r="AA27" i="6"/>
  <c r="K27" i="6"/>
  <c r="X27" i="6"/>
  <c r="Z27" i="6"/>
  <c r="Y27" i="6"/>
  <c r="W27" i="6"/>
  <c r="V27" i="6"/>
  <c r="U27" i="6"/>
  <c r="T27" i="6"/>
  <c r="S27" i="6"/>
  <c r="R27" i="6"/>
  <c r="Q27" i="6"/>
  <c r="P27" i="6"/>
  <c r="AH27" i="6"/>
  <c r="O27" i="6"/>
  <c r="AG27" i="6"/>
  <c r="N27" i="6"/>
  <c r="AF27" i="6"/>
  <c r="M27" i="6"/>
  <c r="AE27" i="6"/>
  <c r="AD27" i="6"/>
  <c r="AC27" i="6"/>
  <c r="J27" i="6"/>
  <c r="M22" i="7"/>
  <c r="M48" i="8"/>
  <c r="M31" i="2" s="1"/>
  <c r="E6" i="9"/>
  <c r="E7" i="9" s="1"/>
  <c r="N48" i="8"/>
  <c r="N31" i="2" s="1"/>
  <c r="N22" i="7"/>
  <c r="E53" i="7"/>
  <c r="AF29" i="6"/>
  <c r="P29" i="6"/>
  <c r="AE29" i="6"/>
  <c r="O29" i="6"/>
  <c r="AB29" i="6"/>
  <c r="L29" i="6"/>
  <c r="Y29" i="6"/>
  <c r="X29" i="6"/>
  <c r="W29" i="6"/>
  <c r="V29" i="6"/>
  <c r="U29" i="6"/>
  <c r="T29" i="6"/>
  <c r="S29" i="6"/>
  <c r="R29" i="6"/>
  <c r="Q29" i="6"/>
  <c r="N29" i="6"/>
  <c r="AH29" i="6"/>
  <c r="M29" i="6"/>
  <c r="AG29" i="6"/>
  <c r="K29" i="6"/>
  <c r="AD29" i="6"/>
  <c r="J29" i="6"/>
  <c r="AC29" i="6"/>
  <c r="AA29" i="6"/>
  <c r="Z29" i="6"/>
  <c r="L22" i="7"/>
  <c r="L48" i="8"/>
  <c r="L31" i="2" s="1"/>
  <c r="H31" i="5"/>
  <c r="K32" i="8"/>
  <c r="N6" i="9"/>
  <c r="N7" i="9" s="1"/>
  <c r="T20" i="6"/>
  <c r="S20" i="6"/>
  <c r="AH20" i="6"/>
  <c r="R20" i="6"/>
  <c r="AG20" i="6"/>
  <c r="Q20" i="6"/>
  <c r="AF20" i="6"/>
  <c r="P20" i="6"/>
  <c r="AD20" i="6"/>
  <c r="N20" i="6"/>
  <c r="AC20" i="6"/>
  <c r="M20" i="6"/>
  <c r="AB20" i="6"/>
  <c r="L20" i="6"/>
  <c r="AA20" i="6"/>
  <c r="K20" i="6"/>
  <c r="Z20" i="6"/>
  <c r="J20" i="6"/>
  <c r="Y20" i="6"/>
  <c r="X20" i="6"/>
  <c r="AE20" i="6"/>
  <c r="W20" i="6"/>
  <c r="V20" i="6"/>
  <c r="U20" i="6"/>
  <c r="O20" i="6"/>
  <c r="L6" i="9"/>
  <c r="L7" i="9" s="1"/>
  <c r="O11" i="9"/>
  <c r="D31" i="6"/>
  <c r="E15" i="6"/>
  <c r="I31" i="4"/>
  <c r="L53" i="7"/>
  <c r="L31" i="4"/>
  <c r="N32" i="8"/>
  <c r="D29" i="4"/>
  <c r="O25" i="4"/>
  <c r="AB16" i="6"/>
  <c r="L16" i="6"/>
  <c r="AA16" i="6"/>
  <c r="K16" i="6"/>
  <c r="Z16" i="6"/>
  <c r="J16" i="6"/>
  <c r="Y16" i="6"/>
  <c r="X16" i="6"/>
  <c r="V16" i="6"/>
  <c r="U16" i="6"/>
  <c r="T16" i="6"/>
  <c r="S16" i="6"/>
  <c r="AH16" i="6"/>
  <c r="R16" i="6"/>
  <c r="AG16" i="6"/>
  <c r="Q16" i="6"/>
  <c r="AF16" i="6"/>
  <c r="AE16" i="6"/>
  <c r="AD16" i="6"/>
  <c r="AC16" i="6"/>
  <c r="W16" i="6"/>
  <c r="P16" i="6"/>
  <c r="O16" i="6"/>
  <c r="N16" i="6"/>
  <c r="M16" i="6"/>
  <c r="AB24" i="6"/>
  <c r="L24" i="6"/>
  <c r="AA24" i="6"/>
  <c r="K24" i="6"/>
  <c r="Z24" i="6"/>
  <c r="J24" i="6"/>
  <c r="Y24" i="6"/>
  <c r="X24" i="6"/>
  <c r="V24" i="6"/>
  <c r="U24" i="6"/>
  <c r="T24" i="6"/>
  <c r="S24" i="6"/>
  <c r="AH24" i="6"/>
  <c r="R24" i="6"/>
  <c r="AG24" i="6"/>
  <c r="Q24" i="6"/>
  <c r="AF24" i="6"/>
  <c r="P24" i="6"/>
  <c r="AE24" i="6"/>
  <c r="AD24" i="6"/>
  <c r="AC24" i="6"/>
  <c r="W24" i="6"/>
  <c r="O24" i="6"/>
  <c r="N24" i="6"/>
  <c r="M24" i="6"/>
  <c r="Z23" i="6"/>
  <c r="J23" i="6"/>
  <c r="Y23" i="6"/>
  <c r="X23" i="6"/>
  <c r="W23" i="6"/>
  <c r="V23" i="6"/>
  <c r="T23" i="6"/>
  <c r="S23" i="6"/>
  <c r="AH23" i="6"/>
  <c r="R23" i="6"/>
  <c r="AG23" i="6"/>
  <c r="Q23" i="6"/>
  <c r="AF23" i="6"/>
  <c r="P23" i="6"/>
  <c r="AE23" i="6"/>
  <c r="O23" i="6"/>
  <c r="AD23" i="6"/>
  <c r="N23" i="6"/>
  <c r="L23" i="6"/>
  <c r="K23" i="6"/>
  <c r="M23" i="6"/>
  <c r="U23" i="6"/>
  <c r="AC23" i="6"/>
  <c r="AA23" i="6"/>
  <c r="AB23" i="6"/>
  <c r="I32" i="8"/>
  <c r="D49" i="9"/>
  <c r="F48" i="8"/>
  <c r="F31" i="2" s="1"/>
  <c r="F22" i="7"/>
  <c r="AH19" i="6"/>
  <c r="R19" i="6"/>
  <c r="AG19" i="6"/>
  <c r="Q19" i="6"/>
  <c r="AF19" i="6"/>
  <c r="P19" i="6"/>
  <c r="AE19" i="6"/>
  <c r="O19" i="6"/>
  <c r="AD19" i="6"/>
  <c r="N19" i="6"/>
  <c r="AB19" i="6"/>
  <c r="L19" i="6"/>
  <c r="AA19" i="6"/>
  <c r="K19" i="6"/>
  <c r="Z19" i="6"/>
  <c r="J19" i="6"/>
  <c r="Y19" i="6"/>
  <c r="X19" i="6"/>
  <c r="W19" i="6"/>
  <c r="V19" i="6"/>
  <c r="M19" i="6"/>
  <c r="AC19" i="6"/>
  <c r="U19" i="6"/>
  <c r="S19" i="6"/>
  <c r="T19" i="6"/>
  <c r="L52" i="8"/>
  <c r="L27" i="2"/>
  <c r="D31" i="5"/>
  <c r="D6" i="9" s="1"/>
  <c r="D7" i="9" s="1"/>
  <c r="O29" i="5"/>
  <c r="K11" i="8"/>
  <c r="J11" i="8"/>
  <c r="AF18" i="6"/>
  <c r="P18" i="6"/>
  <c r="AE18" i="6"/>
  <c r="O18" i="6"/>
  <c r="AD18" i="6"/>
  <c r="N18" i="6"/>
  <c r="AC18" i="6"/>
  <c r="M18" i="6"/>
  <c r="AB18" i="6"/>
  <c r="L18" i="6"/>
  <c r="Z18" i="6"/>
  <c r="J18" i="6"/>
  <c r="Y18" i="6"/>
  <c r="X18" i="6"/>
  <c r="W18" i="6"/>
  <c r="V18" i="6"/>
  <c r="U18" i="6"/>
  <c r="AH18" i="6"/>
  <c r="AG18" i="6"/>
  <c r="AA18" i="6"/>
  <c r="T18" i="6"/>
  <c r="S18" i="6"/>
  <c r="R18" i="6"/>
  <c r="Q18" i="6"/>
  <c r="K18" i="6"/>
  <c r="F32" i="8"/>
  <c r="F52" i="8"/>
  <c r="F27" i="2"/>
  <c r="Z26" i="6"/>
  <c r="J26" i="6"/>
  <c r="Y26" i="6"/>
  <c r="V26" i="6"/>
  <c r="Q26" i="6"/>
  <c r="P26" i="6"/>
  <c r="AH26" i="6"/>
  <c r="O26" i="6"/>
  <c r="AG26" i="6"/>
  <c r="N26" i="6"/>
  <c r="AF26" i="6"/>
  <c r="M26" i="6"/>
  <c r="AE26" i="6"/>
  <c r="L26" i="6"/>
  <c r="AD26" i="6"/>
  <c r="K26" i="6"/>
  <c r="AC26" i="6"/>
  <c r="AB26" i="6"/>
  <c r="AA26" i="6"/>
  <c r="X26" i="6"/>
  <c r="W26" i="6"/>
  <c r="U26" i="6"/>
  <c r="T26" i="6"/>
  <c r="S26" i="6"/>
  <c r="R26" i="6"/>
  <c r="H9" i="8"/>
  <c r="J32" i="8"/>
  <c r="C28" i="9"/>
  <c r="C13" i="9"/>
  <c r="O13" i="9" s="1"/>
  <c r="O24" i="7"/>
  <c r="C13" i="8"/>
  <c r="O13" i="8" s="1"/>
  <c r="B7" i="11" s="1"/>
  <c r="AD17" i="6"/>
  <c r="N17" i="6"/>
  <c r="AC17" i="6"/>
  <c r="M17" i="6"/>
  <c r="AB17" i="6"/>
  <c r="L17" i="6"/>
  <c r="AA17" i="6"/>
  <c r="K17" i="6"/>
  <c r="Z17" i="6"/>
  <c r="J17" i="6"/>
  <c r="X17" i="6"/>
  <c r="W17" i="6"/>
  <c r="V17" i="6"/>
  <c r="U17" i="6"/>
  <c r="T17" i="6"/>
  <c r="S17" i="6"/>
  <c r="P17" i="6"/>
  <c r="O17" i="6"/>
  <c r="AH17" i="6"/>
  <c r="AG17" i="6"/>
  <c r="AF17" i="6"/>
  <c r="Y17" i="6"/>
  <c r="AE17" i="6"/>
  <c r="R17" i="6"/>
  <c r="Q17" i="6"/>
  <c r="C53" i="7"/>
  <c r="M31" i="4"/>
  <c r="AD25" i="6"/>
  <c r="N25" i="6"/>
  <c r="AC25" i="6"/>
  <c r="M25" i="6"/>
  <c r="AB25" i="6"/>
  <c r="L25" i="6"/>
  <c r="AA25" i="6"/>
  <c r="K25" i="6"/>
  <c r="Z25" i="6"/>
  <c r="J25" i="6"/>
  <c r="X25" i="6"/>
  <c r="W25" i="6"/>
  <c r="V25" i="6"/>
  <c r="U25" i="6"/>
  <c r="T25" i="6"/>
  <c r="S25" i="6"/>
  <c r="AH25" i="6"/>
  <c r="R25" i="6"/>
  <c r="P25" i="6"/>
  <c r="O25" i="6"/>
  <c r="Q25" i="6"/>
  <c r="Y25" i="6"/>
  <c r="AG25" i="6"/>
  <c r="AE25" i="6"/>
  <c r="AF25" i="6"/>
  <c r="O6" i="8"/>
  <c r="C9" i="8"/>
  <c r="F31" i="4"/>
  <c r="G11" i="8"/>
  <c r="M32" i="8"/>
  <c r="C31" i="2" l="1"/>
  <c r="F25" i="6"/>
  <c r="F26" i="6"/>
  <c r="D57" i="9"/>
  <c r="D28" i="9"/>
  <c r="O9" i="9"/>
  <c r="F21" i="6"/>
  <c r="D7" i="11"/>
  <c r="N11" i="8"/>
  <c r="F19" i="6"/>
  <c r="L11" i="8"/>
  <c r="E11" i="8"/>
  <c r="O6" i="9"/>
  <c r="C7" i="9"/>
  <c r="O28" i="9"/>
  <c r="F24" i="6"/>
  <c r="L32" i="8"/>
  <c r="D41" i="9"/>
  <c r="O41" i="9" s="1"/>
  <c r="D8" i="8"/>
  <c r="D30" i="4"/>
  <c r="O29" i="4"/>
  <c r="C11" i="8"/>
  <c r="C32" i="8"/>
  <c r="F18" i="6"/>
  <c r="F30" i="6"/>
  <c r="F17" i="6"/>
  <c r="H52" i="8"/>
  <c r="H27" i="2"/>
  <c r="F29" i="6"/>
  <c r="O31" i="5"/>
  <c r="C52" i="8"/>
  <c r="C27" i="2"/>
  <c r="F20" i="6"/>
  <c r="M11" i="8"/>
  <c r="C34" i="5"/>
  <c r="O33" i="5"/>
  <c r="F28" i="6"/>
  <c r="F27" i="6"/>
  <c r="H32" i="8"/>
  <c r="Z15" i="6"/>
  <c r="J15" i="6"/>
  <c r="Y15" i="6"/>
  <c r="X15" i="6"/>
  <c r="W15" i="6"/>
  <c r="V15" i="6"/>
  <c r="T15" i="6"/>
  <c r="S15" i="6"/>
  <c r="AH15" i="6"/>
  <c r="R15" i="6"/>
  <c r="AG15" i="6"/>
  <c r="Q15" i="6"/>
  <c r="AF15" i="6"/>
  <c r="P15" i="6"/>
  <c r="AE15" i="6"/>
  <c r="O15" i="6"/>
  <c r="AA15" i="6"/>
  <c r="U15" i="6"/>
  <c r="N15" i="6"/>
  <c r="M15" i="6"/>
  <c r="E31" i="6"/>
  <c r="L15" i="6"/>
  <c r="K15" i="6"/>
  <c r="AB15" i="6"/>
  <c r="AC15" i="6"/>
  <c r="AD15" i="6"/>
  <c r="C49" i="9"/>
  <c r="C57" i="9" s="1"/>
  <c r="H48" i="8"/>
  <c r="H31" i="2" s="1"/>
  <c r="H22" i="7"/>
  <c r="D22" i="7"/>
  <c r="O22" i="7" s="1"/>
  <c r="D48" i="8"/>
  <c r="D31" i="2" s="1"/>
  <c r="F22" i="6"/>
  <c r="F11" i="8"/>
  <c r="F23" i="6"/>
  <c r="F16" i="6"/>
  <c r="H6" i="9"/>
  <c r="H7" i="9" s="1"/>
  <c r="E32" i="8"/>
  <c r="G32" i="8"/>
  <c r="I11" i="8"/>
  <c r="G20" i="6" l="1"/>
  <c r="H20" i="6"/>
  <c r="O7" i="9"/>
  <c r="F15" i="6"/>
  <c r="G21" i="6"/>
  <c r="H21" i="6"/>
  <c r="G22" i="6"/>
  <c r="H22" i="6"/>
  <c r="H11" i="8"/>
  <c r="G30" i="6"/>
  <c r="H30" i="6"/>
  <c r="G24" i="6"/>
  <c r="H24" i="6"/>
  <c r="E49" i="9"/>
  <c r="D11" i="8"/>
  <c r="G27" i="6"/>
  <c r="H27" i="6"/>
  <c r="G29" i="6"/>
  <c r="H29" i="6"/>
  <c r="E57" i="9"/>
  <c r="G16" i="6"/>
  <c r="H16" i="6"/>
  <c r="G28" i="6"/>
  <c r="H28" i="6"/>
  <c r="D53" i="7"/>
  <c r="D31" i="4"/>
  <c r="E31" i="4"/>
  <c r="O30" i="4"/>
  <c r="G26" i="6"/>
  <c r="H26" i="6"/>
  <c r="G23" i="6"/>
  <c r="H23" i="6"/>
  <c r="D9" i="8"/>
  <c r="O8" i="8"/>
  <c r="G25" i="6"/>
  <c r="H25" i="6"/>
  <c r="G19" i="6"/>
  <c r="H19" i="6"/>
  <c r="O48" i="8"/>
  <c r="G18" i="6"/>
  <c r="H18" i="6"/>
  <c r="G17" i="6"/>
  <c r="H17" i="6"/>
  <c r="C35" i="5"/>
  <c r="D52" i="8" l="1"/>
  <c r="D27" i="2"/>
  <c r="O9" i="8"/>
  <c r="D32" i="8"/>
  <c r="O32" i="8" s="1"/>
  <c r="B22" i="11" s="1"/>
  <c r="O53" i="7"/>
  <c r="O11" i="8"/>
  <c r="B5" i="11" s="1"/>
  <c r="G15" i="6"/>
  <c r="F31" i="6"/>
  <c r="H15" i="6"/>
  <c r="C38" i="7"/>
  <c r="C38" i="5"/>
  <c r="C36" i="5"/>
  <c r="C33" i="6" l="1"/>
  <c r="C34" i="6"/>
  <c r="H31" i="6"/>
  <c r="D5" i="11"/>
  <c r="C5" i="11"/>
  <c r="C22" i="11"/>
  <c r="D22" i="11"/>
  <c r="C39" i="7"/>
  <c r="O52" i="8"/>
  <c r="C5" i="2"/>
  <c r="C21" i="11"/>
  <c r="C20" i="11"/>
  <c r="C19" i="11"/>
  <c r="C10" i="11"/>
  <c r="C7" i="11"/>
  <c r="C49" i="8"/>
  <c r="C45" i="7"/>
  <c r="C45" i="5"/>
  <c r="C46" i="5"/>
  <c r="C47" i="5"/>
  <c r="D33" i="5"/>
  <c r="C44" i="5"/>
  <c r="C41" i="5"/>
  <c r="C55" i="5"/>
  <c r="C37" i="5"/>
  <c r="C43" i="5"/>
  <c r="C39" i="5"/>
  <c r="D34" i="5" l="1"/>
  <c r="D36" i="5" s="1"/>
  <c r="D35" i="5"/>
  <c r="C32" i="7"/>
  <c r="C33" i="7"/>
  <c r="C31" i="7"/>
  <c r="C23" i="7"/>
  <c r="C17" i="8"/>
  <c r="C47" i="7"/>
  <c r="C30" i="7"/>
  <c r="C30" i="2"/>
  <c r="C53" i="8"/>
  <c r="C40" i="7"/>
  <c r="C25" i="7"/>
  <c r="C42" i="5"/>
  <c r="C51" i="5" s="1"/>
  <c r="C26" i="7"/>
  <c r="C35" i="6"/>
  <c r="C56" i="5" l="1"/>
  <c r="C52" i="5"/>
  <c r="C53" i="5"/>
  <c r="D49" i="8"/>
  <c r="D45" i="5"/>
  <c r="D45" i="7"/>
  <c r="D46" i="5"/>
  <c r="D41" i="5"/>
  <c r="D47" i="5"/>
  <c r="D44" i="5"/>
  <c r="D55" i="5"/>
  <c r="D37" i="5"/>
  <c r="D43" i="5"/>
  <c r="E33" i="5"/>
  <c r="D39" i="5"/>
  <c r="C12" i="8"/>
  <c r="C27" i="9"/>
  <c r="C27" i="7"/>
  <c r="C12" i="9"/>
  <c r="C27" i="8"/>
  <c r="C25" i="8"/>
  <c r="C15" i="8"/>
  <c r="C26" i="8"/>
  <c r="D38" i="7"/>
  <c r="D38" i="5"/>
  <c r="C39" i="6"/>
  <c r="C37" i="6"/>
  <c r="C24" i="8"/>
  <c r="C23" i="8"/>
  <c r="C29" i="7"/>
  <c r="C14" i="8"/>
  <c r="C36" i="7" l="1"/>
  <c r="C22" i="8"/>
  <c r="D30" i="7"/>
  <c r="D26" i="7"/>
  <c r="D17" i="8"/>
  <c r="D47" i="7"/>
  <c r="D42" i="5"/>
  <c r="D51" i="5" s="1"/>
  <c r="D25" i="7"/>
  <c r="D30" i="2"/>
  <c r="D53" i="8"/>
  <c r="C15" i="9"/>
  <c r="C55" i="8"/>
  <c r="C18" i="8"/>
  <c r="D23" i="7"/>
  <c r="D33" i="7"/>
  <c r="D39" i="7"/>
  <c r="C54" i="7"/>
  <c r="C50" i="8"/>
  <c r="D31" i="7"/>
  <c r="D40" i="7"/>
  <c r="C57" i="5"/>
  <c r="D32" i="7"/>
  <c r="C30" i="9"/>
  <c r="E34" i="5"/>
  <c r="E35" i="5"/>
  <c r="E36" i="5" s="1"/>
  <c r="E45" i="7" l="1"/>
  <c r="E46" i="5"/>
  <c r="E41" i="5"/>
  <c r="E43" i="5"/>
  <c r="E45" i="5"/>
  <c r="E47" i="5"/>
  <c r="E44" i="5"/>
  <c r="E49" i="8"/>
  <c r="E55" i="5"/>
  <c r="E37" i="5"/>
  <c r="F33" i="5"/>
  <c r="E39" i="5"/>
  <c r="D56" i="5"/>
  <c r="D53" i="5"/>
  <c r="D52" i="5"/>
  <c r="D14" i="8"/>
  <c r="D12" i="8"/>
  <c r="D12" i="9"/>
  <c r="D27" i="7"/>
  <c r="D27" i="9"/>
  <c r="C50" i="7"/>
  <c r="D15" i="8"/>
  <c r="D27" i="8"/>
  <c r="C36" i="9"/>
  <c r="D29" i="7"/>
  <c r="C21" i="9"/>
  <c r="D23" i="8"/>
  <c r="C33" i="8"/>
  <c r="C55" i="7"/>
  <c r="D24" i="8"/>
  <c r="E38" i="7"/>
  <c r="E38" i="5"/>
  <c r="C31" i="9"/>
  <c r="C16" i="9"/>
  <c r="D26" i="8"/>
  <c r="C19" i="8"/>
  <c r="C54" i="8"/>
  <c r="D25" i="8"/>
  <c r="C20" i="8" l="1"/>
  <c r="E30" i="2"/>
  <c r="E53" i="8"/>
  <c r="E30" i="7"/>
  <c r="E33" i="7"/>
  <c r="E26" i="7"/>
  <c r="E31" i="7"/>
  <c r="D57" i="5"/>
  <c r="E23" i="7"/>
  <c r="C17" i="9"/>
  <c r="D55" i="8"/>
  <c r="D18" i="8"/>
  <c r="D50" i="8"/>
  <c r="D54" i="7"/>
  <c r="E25" i="7"/>
  <c r="E42" i="5"/>
  <c r="E51" i="5" s="1"/>
  <c r="D30" i="9"/>
  <c r="D15" i="9"/>
  <c r="E32" i="7"/>
  <c r="F34" i="5"/>
  <c r="F35" i="5" s="1"/>
  <c r="E39" i="7"/>
  <c r="E40" i="7"/>
  <c r="D36" i="7"/>
  <c r="D22" i="8"/>
  <c r="C32" i="9"/>
  <c r="E17" i="8"/>
  <c r="E47" i="7"/>
  <c r="E56" i="5" l="1"/>
  <c r="E52" i="5"/>
  <c r="E53" i="5"/>
  <c r="F38" i="7"/>
  <c r="F38" i="5"/>
  <c r="F36" i="5"/>
  <c r="E25" i="8"/>
  <c r="D19" i="8"/>
  <c r="E12" i="8"/>
  <c r="E12" i="9"/>
  <c r="E27" i="7"/>
  <c r="E27" i="9"/>
  <c r="C37" i="9"/>
  <c r="C22" i="9"/>
  <c r="D60" i="7"/>
  <c r="D50" i="7"/>
  <c r="E29" i="7"/>
  <c r="E26" i="8"/>
  <c r="D31" i="9"/>
  <c r="D16" i="9"/>
  <c r="D21" i="9"/>
  <c r="E27" i="8"/>
  <c r="E23" i="8"/>
  <c r="D33" i="8"/>
  <c r="D55" i="7"/>
  <c r="D36" i="9"/>
  <c r="E24" i="8"/>
  <c r="E14" i="8"/>
  <c r="E15" i="8"/>
  <c r="D20" i="8" l="1"/>
  <c r="E55" i="8"/>
  <c r="E18" i="8"/>
  <c r="F39" i="7"/>
  <c r="E15" i="9"/>
  <c r="F40" i="7"/>
  <c r="D54" i="8"/>
  <c r="F45" i="7"/>
  <c r="F49" i="8"/>
  <c r="F46" i="5"/>
  <c r="F41" i="5"/>
  <c r="F47" i="5"/>
  <c r="F43" i="5"/>
  <c r="F55" i="5"/>
  <c r="F37" i="5"/>
  <c r="F44" i="5"/>
  <c r="F45" i="5"/>
  <c r="G33" i="5"/>
  <c r="F39" i="5"/>
  <c r="E50" i="8"/>
  <c r="E54" i="7"/>
  <c r="E36" i="7"/>
  <c r="E22" i="8"/>
  <c r="E30" i="9"/>
  <c r="D17" i="9"/>
  <c r="D32" i="9"/>
  <c r="E57" i="5"/>
  <c r="F23" i="7" l="1"/>
  <c r="E36" i="9"/>
  <c r="E50" i="7"/>
  <c r="F17" i="8"/>
  <c r="F47" i="7"/>
  <c r="E19" i="8"/>
  <c r="E21" i="9"/>
  <c r="F25" i="7"/>
  <c r="F42" i="5"/>
  <c r="F51" i="5" s="1"/>
  <c r="F33" i="7"/>
  <c r="F27" i="8"/>
  <c r="F32" i="7"/>
  <c r="F30" i="2"/>
  <c r="F53" i="8"/>
  <c r="E60" i="7"/>
  <c r="G34" i="5"/>
  <c r="G35" i="5"/>
  <c r="G36" i="5" s="1"/>
  <c r="F26" i="7"/>
  <c r="E31" i="9"/>
  <c r="E32" i="9" s="1"/>
  <c r="E16" i="9"/>
  <c r="E33" i="8"/>
  <c r="E55" i="7"/>
  <c r="F31" i="7"/>
  <c r="D37" i="9"/>
  <c r="D22" i="9"/>
  <c r="F30" i="7"/>
  <c r="F56" i="5" l="1"/>
  <c r="F52" i="5"/>
  <c r="F53" i="5"/>
  <c r="E37" i="9"/>
  <c r="G45" i="7"/>
  <c r="G49" i="8"/>
  <c r="G46" i="5"/>
  <c r="G41" i="5"/>
  <c r="G47" i="5"/>
  <c r="G43" i="5"/>
  <c r="G55" i="5"/>
  <c r="G37" i="5"/>
  <c r="G44" i="5"/>
  <c r="G45" i="5"/>
  <c r="H33" i="5"/>
  <c r="G39" i="5"/>
  <c r="E20" i="8"/>
  <c r="F23" i="8"/>
  <c r="F12" i="8"/>
  <c r="F27" i="7"/>
  <c r="F12" i="9"/>
  <c r="F27" i="9"/>
  <c r="F15" i="8"/>
  <c r="G38" i="7"/>
  <c r="G38" i="5"/>
  <c r="F24" i="8"/>
  <c r="F25" i="8"/>
  <c r="F26" i="8"/>
  <c r="F29" i="7"/>
  <c r="F14" i="8"/>
  <c r="E54" i="8"/>
  <c r="E17" i="9"/>
  <c r="F55" i="8" l="1"/>
  <c r="F18" i="8"/>
  <c r="G33" i="7"/>
  <c r="G26" i="7"/>
  <c r="G30" i="2"/>
  <c r="G53" i="8"/>
  <c r="G40" i="7"/>
  <c r="E22" i="9"/>
  <c r="H34" i="5"/>
  <c r="H36" i="5" s="1"/>
  <c r="H35" i="5"/>
  <c r="G32" i="7"/>
  <c r="G39" i="7"/>
  <c r="F50" i="8"/>
  <c r="F54" i="7"/>
  <c r="G25" i="7"/>
  <c r="G42" i="5"/>
  <c r="F30" i="9"/>
  <c r="G31" i="7"/>
  <c r="G23" i="7"/>
  <c r="G17" i="8"/>
  <c r="G47" i="7"/>
  <c r="F22" i="8"/>
  <c r="F36" i="7"/>
  <c r="F60" i="7" s="1"/>
  <c r="F15" i="9"/>
  <c r="G30" i="7"/>
  <c r="F57" i="5"/>
  <c r="H45" i="7" l="1"/>
  <c r="H49" i="8"/>
  <c r="H41" i="5"/>
  <c r="H47" i="5"/>
  <c r="H33" i="7" s="1"/>
  <c r="H26" i="8" s="1"/>
  <c r="H43" i="5"/>
  <c r="H26" i="7" s="1"/>
  <c r="H15" i="8" s="1"/>
  <c r="H55" i="5"/>
  <c r="H37" i="5"/>
  <c r="H23" i="7" s="1"/>
  <c r="H44" i="5"/>
  <c r="H30" i="7" s="1"/>
  <c r="H23" i="8" s="1"/>
  <c r="H46" i="5"/>
  <c r="H32" i="7" s="1"/>
  <c r="H25" i="8" s="1"/>
  <c r="I33" i="5"/>
  <c r="H45" i="5"/>
  <c r="H31" i="7" s="1"/>
  <c r="H24" i="8" s="1"/>
  <c r="H39" i="5"/>
  <c r="F54" i="8"/>
  <c r="G14" i="8"/>
  <c r="G25" i="8"/>
  <c r="H38" i="7"/>
  <c r="H38" i="5"/>
  <c r="H39" i="7" s="1"/>
  <c r="F33" i="8"/>
  <c r="F55" i="7"/>
  <c r="F50" i="7"/>
  <c r="G26" i="8"/>
  <c r="G27" i="8"/>
  <c r="G29" i="7"/>
  <c r="F21" i="9"/>
  <c r="F31" i="9"/>
  <c r="F32" i="9" s="1"/>
  <c r="F16" i="9"/>
  <c r="F17" i="9" s="1"/>
  <c r="G12" i="8"/>
  <c r="G12" i="9"/>
  <c r="G27" i="9"/>
  <c r="G27" i="7"/>
  <c r="G15" i="8"/>
  <c r="G24" i="8"/>
  <c r="F36" i="9"/>
  <c r="F19" i="8"/>
  <c r="G23" i="8"/>
  <c r="G51" i="5"/>
  <c r="F22" i="9" l="1"/>
  <c r="F37" i="9"/>
  <c r="G30" i="9"/>
  <c r="G60" i="7"/>
  <c r="I34" i="5"/>
  <c r="I36" i="5" s="1"/>
  <c r="I35" i="5"/>
  <c r="G56" i="5"/>
  <c r="G52" i="5"/>
  <c r="G53" i="5"/>
  <c r="G15" i="9"/>
  <c r="H40" i="7"/>
  <c r="H27" i="8" s="1"/>
  <c r="H12" i="8"/>
  <c r="H27" i="9"/>
  <c r="H30" i="9" s="1"/>
  <c r="H12" i="9"/>
  <c r="H15" i="9" s="1"/>
  <c r="F20" i="8"/>
  <c r="H25" i="7"/>
  <c r="H42" i="5"/>
  <c r="H29" i="7" s="1"/>
  <c r="G55" i="8"/>
  <c r="G18" i="8"/>
  <c r="H30" i="2"/>
  <c r="H53" i="8"/>
  <c r="G22" i="8"/>
  <c r="G36" i="7"/>
  <c r="H17" i="8"/>
  <c r="H47" i="7"/>
  <c r="I49" i="8" l="1"/>
  <c r="I45" i="7"/>
  <c r="I47" i="5"/>
  <c r="I33" i="7" s="1"/>
  <c r="I26" i="8" s="1"/>
  <c r="I55" i="5"/>
  <c r="I37" i="5"/>
  <c r="I23" i="7" s="1"/>
  <c r="I44" i="5"/>
  <c r="I30" i="7" s="1"/>
  <c r="I23" i="8" s="1"/>
  <c r="J33" i="5"/>
  <c r="I41" i="5"/>
  <c r="I46" i="5"/>
  <c r="I32" i="7" s="1"/>
  <c r="I25" i="8" s="1"/>
  <c r="I43" i="5"/>
  <c r="I26" i="7" s="1"/>
  <c r="I15" i="8" s="1"/>
  <c r="I45" i="5"/>
  <c r="I31" i="7" s="1"/>
  <c r="I24" i="8" s="1"/>
  <c r="I39" i="5"/>
  <c r="I38" i="7"/>
  <c r="I38" i="5"/>
  <c r="I39" i="7" s="1"/>
  <c r="H22" i="8"/>
  <c r="H36" i="7"/>
  <c r="G57" i="5"/>
  <c r="H55" i="8"/>
  <c r="G17" i="9"/>
  <c r="G21" i="9"/>
  <c r="H51" i="5"/>
  <c r="H14" i="8"/>
  <c r="H18" i="8" s="1"/>
  <c r="H31" i="9"/>
  <c r="H32" i="9" s="1"/>
  <c r="H16" i="9"/>
  <c r="H17" i="9" s="1"/>
  <c r="G54" i="8"/>
  <c r="G31" i="9"/>
  <c r="G16" i="9"/>
  <c r="H21" i="9"/>
  <c r="H36" i="9"/>
  <c r="H27" i="7"/>
  <c r="G32" i="9"/>
  <c r="G36" i="9"/>
  <c r="G19" i="8"/>
  <c r="G50" i="8"/>
  <c r="G54" i="7"/>
  <c r="H22" i="9" l="1"/>
  <c r="H37" i="9"/>
  <c r="H19" i="8"/>
  <c r="H56" i="5"/>
  <c r="H57" i="5" s="1"/>
  <c r="H52" i="5"/>
  <c r="H53" i="5"/>
  <c r="H60" i="7"/>
  <c r="I40" i="7"/>
  <c r="I27" i="8" s="1"/>
  <c r="J34" i="5"/>
  <c r="J36" i="5" s="1"/>
  <c r="J35" i="5"/>
  <c r="G22" i="9"/>
  <c r="G50" i="7"/>
  <c r="F9" i="10"/>
  <c r="G33" i="8"/>
  <c r="G55" i="7"/>
  <c r="I17" i="8"/>
  <c r="I47" i="7"/>
  <c r="G20" i="8"/>
  <c r="I25" i="7"/>
  <c r="I42" i="5"/>
  <c r="I29" i="7" s="1"/>
  <c r="G37" i="9"/>
  <c r="I12" i="8"/>
  <c r="I12" i="9"/>
  <c r="I15" i="9" s="1"/>
  <c r="I27" i="9"/>
  <c r="I30" i="9" s="1"/>
  <c r="I30" i="2"/>
  <c r="I53" i="8"/>
  <c r="J49" i="8" l="1"/>
  <c r="J45" i="7"/>
  <c r="J47" i="5"/>
  <c r="J33" i="7" s="1"/>
  <c r="J26" i="8" s="1"/>
  <c r="J43" i="5"/>
  <c r="J26" i="7" s="1"/>
  <c r="J15" i="8" s="1"/>
  <c r="J44" i="5"/>
  <c r="J30" i="7" s="1"/>
  <c r="J23" i="8" s="1"/>
  <c r="K33" i="5"/>
  <c r="J55" i="5"/>
  <c r="J41" i="5"/>
  <c r="J37" i="5"/>
  <c r="J23" i="7" s="1"/>
  <c r="J46" i="5"/>
  <c r="J32" i="7" s="1"/>
  <c r="J25" i="8" s="1"/>
  <c r="J45" i="5"/>
  <c r="J31" i="7" s="1"/>
  <c r="J24" i="8" s="1"/>
  <c r="J39" i="5"/>
  <c r="I22" i="8"/>
  <c r="I36" i="7"/>
  <c r="I16" i="9" s="1"/>
  <c r="I17" i="9" s="1"/>
  <c r="H50" i="7"/>
  <c r="I51" i="5"/>
  <c r="I14" i="8"/>
  <c r="H20" i="8"/>
  <c r="I27" i="7"/>
  <c r="J38" i="7"/>
  <c r="J38" i="5"/>
  <c r="J39" i="7" s="1"/>
  <c r="I21" i="9"/>
  <c r="I36" i="9"/>
  <c r="H54" i="8"/>
  <c r="H50" i="8"/>
  <c r="H54" i="7"/>
  <c r="I55" i="8"/>
  <c r="I18" i="8"/>
  <c r="I22" i="9" l="1"/>
  <c r="J12" i="8"/>
  <c r="J27" i="9"/>
  <c r="J30" i="9" s="1"/>
  <c r="J12" i="9"/>
  <c r="J15" i="9" s="1"/>
  <c r="I31" i="9"/>
  <c r="I32" i="9" s="1"/>
  <c r="J42" i="5"/>
  <c r="J29" i="7" s="1"/>
  <c r="J25" i="7"/>
  <c r="I60" i="7"/>
  <c r="K34" i="5"/>
  <c r="K36" i="5" s="1"/>
  <c r="K35" i="5"/>
  <c r="I19" i="8"/>
  <c r="J40" i="7"/>
  <c r="J27" i="8" s="1"/>
  <c r="J17" i="8"/>
  <c r="J47" i="7"/>
  <c r="H33" i="8"/>
  <c r="H55" i="7"/>
  <c r="I56" i="5"/>
  <c r="I57" i="5" s="1"/>
  <c r="I52" i="5"/>
  <c r="I53" i="5"/>
  <c r="J30" i="2"/>
  <c r="J53" i="8"/>
  <c r="K45" i="7" l="1"/>
  <c r="K49" i="8"/>
  <c r="K43" i="5"/>
  <c r="K26" i="7" s="1"/>
  <c r="K15" i="8" s="1"/>
  <c r="K55" i="5"/>
  <c r="K37" i="5"/>
  <c r="K23" i="7" s="1"/>
  <c r="K44" i="5"/>
  <c r="K30" i="7" s="1"/>
  <c r="K23" i="8" s="1"/>
  <c r="L33" i="5"/>
  <c r="K45" i="5"/>
  <c r="K31" i="7" s="1"/>
  <c r="K24" i="8" s="1"/>
  <c r="K47" i="5"/>
  <c r="K33" i="7" s="1"/>
  <c r="K26" i="8" s="1"/>
  <c r="K41" i="5"/>
  <c r="K46" i="5"/>
  <c r="K32" i="7" s="1"/>
  <c r="K25" i="8" s="1"/>
  <c r="K39" i="5"/>
  <c r="K38" i="7"/>
  <c r="K38" i="5"/>
  <c r="K39" i="7" s="1"/>
  <c r="J22" i="8"/>
  <c r="J36" i="7"/>
  <c r="I37" i="9"/>
  <c r="I50" i="8"/>
  <c r="I54" i="7"/>
  <c r="I54" i="8"/>
  <c r="J51" i="5"/>
  <c r="J16" i="9"/>
  <c r="J17" i="9" s="1"/>
  <c r="J14" i="8"/>
  <c r="J18" i="8" s="1"/>
  <c r="J31" i="9"/>
  <c r="J32" i="9" s="1"/>
  <c r="J21" i="9"/>
  <c r="I20" i="8"/>
  <c r="I50" i="7"/>
  <c r="J27" i="7"/>
  <c r="J36" i="9"/>
  <c r="J55" i="8"/>
  <c r="J37" i="9" l="1"/>
  <c r="J19" i="8"/>
  <c r="J22" i="9"/>
  <c r="K42" i="5"/>
  <c r="K29" i="7" s="1"/>
  <c r="K25" i="7"/>
  <c r="K51" i="5"/>
  <c r="J56" i="5"/>
  <c r="J57" i="5" s="1"/>
  <c r="J52" i="5"/>
  <c r="J53" i="5"/>
  <c r="K12" i="8"/>
  <c r="K27" i="7"/>
  <c r="K12" i="9"/>
  <c r="K15" i="9" s="1"/>
  <c r="K27" i="9"/>
  <c r="K30" i="9" s="1"/>
  <c r="J60" i="7"/>
  <c r="L34" i="5"/>
  <c r="I33" i="8"/>
  <c r="I55" i="7"/>
  <c r="K30" i="2"/>
  <c r="K53" i="8"/>
  <c r="K40" i="7"/>
  <c r="K27" i="8" s="1"/>
  <c r="K17" i="8"/>
  <c r="K47" i="7"/>
  <c r="J50" i="7" l="1"/>
  <c r="K21" i="9"/>
  <c r="K55" i="8"/>
  <c r="K18" i="8"/>
  <c r="J54" i="7"/>
  <c r="J50" i="8"/>
  <c r="K22" i="8"/>
  <c r="K36" i="7"/>
  <c r="K16" i="9" s="1"/>
  <c r="K17" i="9" s="1"/>
  <c r="K36" i="9"/>
  <c r="K60" i="7"/>
  <c r="K56" i="5"/>
  <c r="K57" i="5" s="1"/>
  <c r="K53" i="5"/>
  <c r="K52" i="5"/>
  <c r="K14" i="8"/>
  <c r="L35" i="5"/>
  <c r="J20" i="8"/>
  <c r="J54" i="8"/>
  <c r="K22" i="9" l="1"/>
  <c r="K50" i="7"/>
  <c r="K54" i="8"/>
  <c r="K19" i="8"/>
  <c r="K31" i="9"/>
  <c r="K32" i="9" s="1"/>
  <c r="J33" i="8"/>
  <c r="J55" i="7"/>
  <c r="K54" i="7"/>
  <c r="K50" i="8"/>
  <c r="L38" i="7"/>
  <c r="L38" i="5"/>
  <c r="L39" i="7" s="1"/>
  <c r="L36" i="5"/>
  <c r="K37" i="9" l="1"/>
  <c r="L40" i="7"/>
  <c r="L27" i="8" s="1"/>
  <c r="K20" i="8"/>
  <c r="K33" i="8"/>
  <c r="K55" i="7"/>
  <c r="L49" i="8"/>
  <c r="L45" i="7"/>
  <c r="L43" i="5"/>
  <c r="L26" i="7" s="1"/>
  <c r="L15" i="8" s="1"/>
  <c r="L55" i="5"/>
  <c r="L37" i="5"/>
  <c r="L23" i="7" s="1"/>
  <c r="M33" i="5"/>
  <c r="L45" i="5"/>
  <c r="L31" i="7" s="1"/>
  <c r="L24" i="8" s="1"/>
  <c r="L47" i="5"/>
  <c r="L33" i="7" s="1"/>
  <c r="L26" i="8" s="1"/>
  <c r="L44" i="5"/>
  <c r="L30" i="7" s="1"/>
  <c r="L23" i="8" s="1"/>
  <c r="L41" i="5"/>
  <c r="L46" i="5"/>
  <c r="L32" i="7" s="1"/>
  <c r="L25" i="8" s="1"/>
  <c r="L39" i="5"/>
  <c r="M34" i="5" l="1"/>
  <c r="M35" i="5"/>
  <c r="L12" i="8"/>
  <c r="L12" i="9"/>
  <c r="L15" i="9" s="1"/>
  <c r="L27" i="9"/>
  <c r="L30" i="9" s="1"/>
  <c r="L17" i="8"/>
  <c r="L47" i="7"/>
  <c r="L30" i="2"/>
  <c r="L53" i="8"/>
  <c r="L25" i="7"/>
  <c r="L42" i="5"/>
  <c r="L29" i="7" s="1"/>
  <c r="L22" i="8" l="1"/>
  <c r="L36" i="7"/>
  <c r="L21" i="9"/>
  <c r="L31" i="9"/>
  <c r="L16" i="9"/>
  <c r="L17" i="9" s="1"/>
  <c r="L14" i="8"/>
  <c r="L27" i="7"/>
  <c r="L51" i="5"/>
  <c r="L36" i="9"/>
  <c r="L32" i="9"/>
  <c r="L55" i="8"/>
  <c r="L18" i="8"/>
  <c r="M38" i="7"/>
  <c r="M38" i="5"/>
  <c r="M39" i="7" s="1"/>
  <c r="M36" i="5"/>
  <c r="L22" i="9" l="1"/>
  <c r="M40" i="7"/>
  <c r="M27" i="8" s="1"/>
  <c r="L37" i="9"/>
  <c r="L56" i="5"/>
  <c r="L57" i="5" s="1"/>
  <c r="L52" i="5"/>
  <c r="L53" i="5"/>
  <c r="L60" i="7"/>
  <c r="M49" i="8"/>
  <c r="M45" i="7"/>
  <c r="M43" i="5"/>
  <c r="M26" i="7" s="1"/>
  <c r="M15" i="8" s="1"/>
  <c r="M55" i="5"/>
  <c r="M37" i="5"/>
  <c r="M23" i="7" s="1"/>
  <c r="M44" i="5"/>
  <c r="M30" i="7" s="1"/>
  <c r="M23" i="8" s="1"/>
  <c r="M45" i="5"/>
  <c r="M31" i="7" s="1"/>
  <c r="M24" i="8" s="1"/>
  <c r="M47" i="5"/>
  <c r="M33" i="7" s="1"/>
  <c r="M26" i="8" s="1"/>
  <c r="M41" i="5"/>
  <c r="M46" i="5"/>
  <c r="M32" i="7" s="1"/>
  <c r="M25" i="8" s="1"/>
  <c r="N33" i="5"/>
  <c r="M39" i="5"/>
  <c r="L19" i="8"/>
  <c r="N34" i="5" l="1"/>
  <c r="O34" i="5" s="1"/>
  <c r="N35" i="5"/>
  <c r="N36" i="5" s="1"/>
  <c r="M17" i="8"/>
  <c r="M47" i="7"/>
  <c r="M12" i="8"/>
  <c r="M27" i="9"/>
  <c r="M30" i="9" s="1"/>
  <c r="M12" i="9"/>
  <c r="M15" i="9" s="1"/>
  <c r="L20" i="8"/>
  <c r="L50" i="8"/>
  <c r="L54" i="7"/>
  <c r="M25" i="7"/>
  <c r="M27" i="7" s="1"/>
  <c r="M42" i="5"/>
  <c r="M29" i="7" s="1"/>
  <c r="M30" i="2"/>
  <c r="M53" i="8"/>
  <c r="L50" i="7"/>
  <c r="L54" i="8"/>
  <c r="N49" i="8" l="1"/>
  <c r="N43" i="5"/>
  <c r="N55" i="5"/>
  <c r="N37" i="5"/>
  <c r="N44" i="5"/>
  <c r="N45" i="5"/>
  <c r="N46" i="5"/>
  <c r="N41" i="5"/>
  <c r="N47" i="5"/>
  <c r="N45" i="7"/>
  <c r="N39" i="5"/>
  <c r="O36" i="5"/>
  <c r="L33" i="8"/>
  <c r="L55" i="7"/>
  <c r="M22" i="8"/>
  <c r="M36" i="7"/>
  <c r="M60" i="7" s="1"/>
  <c r="M51" i="5"/>
  <c r="M36" i="9"/>
  <c r="M31" i="9"/>
  <c r="M32" i="9" s="1"/>
  <c r="M16" i="9"/>
  <c r="M14" i="8"/>
  <c r="M17" i="9"/>
  <c r="M21" i="9"/>
  <c r="M55" i="8"/>
  <c r="M18" i="8"/>
  <c r="N38" i="7"/>
  <c r="N38" i="5"/>
  <c r="O35" i="5"/>
  <c r="M54" i="8" l="1"/>
  <c r="M37" i="9"/>
  <c r="N33" i="7"/>
  <c r="O47" i="5"/>
  <c r="N25" i="7"/>
  <c r="N42" i="5"/>
  <c r="O41" i="5"/>
  <c r="N39" i="7"/>
  <c r="O39" i="7" s="1"/>
  <c r="O38" i="5"/>
  <c r="M22" i="9"/>
  <c r="N26" i="7"/>
  <c r="O43" i="5"/>
  <c r="M19" i="8"/>
  <c r="N23" i="7"/>
  <c r="O37" i="5"/>
  <c r="O38" i="7"/>
  <c r="N17" i="8"/>
  <c r="O17" i="8" s="1"/>
  <c r="B11" i="11" s="1"/>
  <c r="N47" i="7"/>
  <c r="O47" i="7" s="1"/>
  <c r="O45" i="7"/>
  <c r="G11" i="10" s="1"/>
  <c r="H11" i="10" s="1"/>
  <c r="M11" i="10" s="1"/>
  <c r="N32" i="7"/>
  <c r="O46" i="5"/>
  <c r="N30" i="7"/>
  <c r="O44" i="5"/>
  <c r="M56" i="5"/>
  <c r="M57" i="5" s="1"/>
  <c r="M53" i="5"/>
  <c r="M52" i="5"/>
  <c r="O39" i="5"/>
  <c r="N31" i="7"/>
  <c r="O45" i="5"/>
  <c r="O55" i="5"/>
  <c r="N30" i="2"/>
  <c r="N53" i="8"/>
  <c r="O49" i="8"/>
  <c r="M54" i="7" l="1"/>
  <c r="M50" i="8"/>
  <c r="N29" i="7"/>
  <c r="O42" i="5"/>
  <c r="M50" i="7"/>
  <c r="N23" i="8"/>
  <c r="O23" i="8" s="1"/>
  <c r="B13" i="11" s="1"/>
  <c r="O30" i="7"/>
  <c r="N51" i="5"/>
  <c r="N24" i="8"/>
  <c r="O24" i="8" s="1"/>
  <c r="B14" i="11" s="1"/>
  <c r="O31" i="7"/>
  <c r="N15" i="8"/>
  <c r="O15" i="8" s="1"/>
  <c r="B9" i="11" s="1"/>
  <c r="O26" i="7"/>
  <c r="G13" i="10" s="1"/>
  <c r="H13" i="10" s="1"/>
  <c r="M13" i="10" s="1"/>
  <c r="C12" i="2"/>
  <c r="O53" i="8"/>
  <c r="N25" i="8"/>
  <c r="O25" i="8" s="1"/>
  <c r="B15" i="11" s="1"/>
  <c r="O32" i="7"/>
  <c r="N12" i="8"/>
  <c r="N27" i="9"/>
  <c r="N27" i="7"/>
  <c r="N12" i="9"/>
  <c r="O23" i="7"/>
  <c r="N14" i="8"/>
  <c r="O14" i="8" s="1"/>
  <c r="B8" i="11" s="1"/>
  <c r="O25" i="7"/>
  <c r="G10" i="10" s="1"/>
  <c r="H10" i="10" s="1"/>
  <c r="M10" i="10" s="1"/>
  <c r="N40" i="7"/>
  <c r="N26" i="8"/>
  <c r="O26" i="8" s="1"/>
  <c r="B16" i="11" s="1"/>
  <c r="O33" i="7"/>
  <c r="D11" i="11"/>
  <c r="C11" i="11"/>
  <c r="M20" i="8"/>
  <c r="D15" i="11" l="1"/>
  <c r="C15" i="11"/>
  <c r="N27" i="8"/>
  <c r="O27" i="8" s="1"/>
  <c r="B17" i="11" s="1"/>
  <c r="O40" i="7"/>
  <c r="D9" i="11"/>
  <c r="C9" i="11"/>
  <c r="C8" i="11"/>
  <c r="D8" i="11"/>
  <c r="N56" i="5"/>
  <c r="O51" i="5"/>
  <c r="O53" i="5" s="1"/>
  <c r="N53" i="5"/>
  <c r="N52" i="5"/>
  <c r="G12" i="10"/>
  <c r="H12" i="10" s="1"/>
  <c r="M12" i="10" s="1"/>
  <c r="N22" i="8"/>
  <c r="N36" i="7"/>
  <c r="O29" i="7"/>
  <c r="N55" i="8"/>
  <c r="N18" i="8"/>
  <c r="O12" i="8"/>
  <c r="C16" i="11"/>
  <c r="D16" i="11"/>
  <c r="C14" i="11"/>
  <c r="D14" i="11"/>
  <c r="D13" i="11"/>
  <c r="C13" i="11"/>
  <c r="N15" i="9"/>
  <c r="O12" i="9"/>
  <c r="N60" i="7"/>
  <c r="O27" i="7"/>
  <c r="N30" i="9"/>
  <c r="O27" i="9"/>
  <c r="M33" i="8"/>
  <c r="M55" i="7"/>
  <c r="O22" i="8" l="1"/>
  <c r="B12" i="11" s="1"/>
  <c r="N21" i="9"/>
  <c r="O15" i="9"/>
  <c r="O56" i="5"/>
  <c r="N57" i="5"/>
  <c r="D17" i="11"/>
  <c r="C17" i="11"/>
  <c r="B6" i="11"/>
  <c r="O55" i="8"/>
  <c r="N19" i="8"/>
  <c r="O18" i="8"/>
  <c r="N54" i="8"/>
  <c r="O60" i="7"/>
  <c r="N50" i="8"/>
  <c r="O50" i="8" s="1"/>
  <c r="C13" i="2" s="1"/>
  <c r="N54" i="7"/>
  <c r="O52" i="5"/>
  <c r="N36" i="9"/>
  <c r="O30" i="9"/>
  <c r="O36" i="7"/>
  <c r="G7" i="10" s="1"/>
  <c r="H7" i="10" s="1"/>
  <c r="M7" i="10" s="1"/>
  <c r="N31" i="9"/>
  <c r="O31" i="9" s="1"/>
  <c r="N16" i="9"/>
  <c r="O16" i="9" s="1"/>
  <c r="G8" i="10" s="1"/>
  <c r="H8" i="10" s="1"/>
  <c r="M8" i="10" s="1"/>
  <c r="N50" i="7" l="1"/>
  <c r="O50" i="7" s="1"/>
  <c r="K58" i="5"/>
  <c r="F58" i="5"/>
  <c r="D58" i="5"/>
  <c r="O57" i="5"/>
  <c r="C58" i="5"/>
  <c r="J58" i="5"/>
  <c r="G58" i="5"/>
  <c r="L58" i="5"/>
  <c r="H58" i="5"/>
  <c r="E58" i="5"/>
  <c r="I58" i="5"/>
  <c r="N58" i="5"/>
  <c r="N59" i="5" s="1"/>
  <c r="M58" i="5"/>
  <c r="C55" i="9"/>
  <c r="O21" i="9"/>
  <c r="C52" i="9" s="1"/>
  <c r="C50" i="9"/>
  <c r="O54" i="8"/>
  <c r="G6" i="10"/>
  <c r="H6" i="10" s="1"/>
  <c r="N20" i="8"/>
  <c r="O19" i="8"/>
  <c r="C6" i="11"/>
  <c r="D6" i="11"/>
  <c r="D55" i="9"/>
  <c r="E55" i="9" s="1"/>
  <c r="O36" i="9"/>
  <c r="D52" i="9" s="1"/>
  <c r="E52" i="9" s="1"/>
  <c r="D50" i="9"/>
  <c r="E50" i="9" s="1"/>
  <c r="N32" i="9"/>
  <c r="N33" i="8"/>
  <c r="O33" i="8" s="1"/>
  <c r="B23" i="11" s="1"/>
  <c r="N55" i="7"/>
  <c r="O55" i="7" s="1"/>
  <c r="O54" i="7"/>
  <c r="N17" i="9"/>
  <c r="C12" i="11"/>
  <c r="D12" i="11"/>
  <c r="I58" i="7" l="1"/>
  <c r="I37" i="8" s="1"/>
  <c r="I49" i="7"/>
  <c r="I51" i="7" s="1"/>
  <c r="I59" i="5"/>
  <c r="L58" i="7"/>
  <c r="L37" i="8" s="1"/>
  <c r="L49" i="7"/>
  <c r="L51" i="7" s="1"/>
  <c r="L59" i="5"/>
  <c r="J58" i="7"/>
  <c r="J37" i="8" s="1"/>
  <c r="J49" i="7"/>
  <c r="J51" i="7" s="1"/>
  <c r="J59" i="5"/>
  <c r="K58" i="7"/>
  <c r="K37" i="8" s="1"/>
  <c r="K49" i="7"/>
  <c r="K51" i="7" s="1"/>
  <c r="K59" i="5"/>
  <c r="H58" i="7"/>
  <c r="H37" i="8" s="1"/>
  <c r="H49" i="7"/>
  <c r="H51" i="7" s="1"/>
  <c r="H59" i="5"/>
  <c r="O20" i="8"/>
  <c r="C7" i="2" s="1"/>
  <c r="C6" i="2"/>
  <c r="N49" i="7"/>
  <c r="N51" i="7" s="1"/>
  <c r="N58" i="7"/>
  <c r="N37" i="8" s="1"/>
  <c r="M6" i="10"/>
  <c r="H14" i="10"/>
  <c r="G58" i="7"/>
  <c r="G37" i="8" s="1"/>
  <c r="G49" i="7"/>
  <c r="G51" i="7" s="1"/>
  <c r="G59" i="5"/>
  <c r="F58" i="7"/>
  <c r="F37" i="8" s="1"/>
  <c r="F49" i="7"/>
  <c r="F51" i="7" s="1"/>
  <c r="F59" i="5"/>
  <c r="E49" i="7"/>
  <c r="E51" i="7" s="1"/>
  <c r="E58" i="7"/>
  <c r="E37" i="8" s="1"/>
  <c r="E59" i="5"/>
  <c r="C58" i="7"/>
  <c r="C49" i="7"/>
  <c r="O58" i="5"/>
  <c r="E9" i="10" s="1"/>
  <c r="H9" i="10" s="1"/>
  <c r="M9" i="10" s="1"/>
  <c r="C59" i="5"/>
  <c r="D58" i="7"/>
  <c r="D37" i="8" s="1"/>
  <c r="D49" i="7"/>
  <c r="D51" i="7" s="1"/>
  <c r="D59" i="5"/>
  <c r="N22" i="9"/>
  <c r="O17" i="9"/>
  <c r="O22" i="9" s="1"/>
  <c r="C53" i="9" s="1"/>
  <c r="D23" i="11"/>
  <c r="C23" i="11"/>
  <c r="N37" i="9"/>
  <c r="O32" i="9"/>
  <c r="O37" i="9" s="1"/>
  <c r="D53" i="9" s="1"/>
  <c r="E53" i="9" s="1"/>
  <c r="M58" i="7"/>
  <c r="M37" i="8" s="1"/>
  <c r="M49" i="7"/>
  <c r="M51" i="7" s="1"/>
  <c r="M59" i="5"/>
  <c r="C37" i="8" l="1"/>
  <c r="O37" i="8" s="1"/>
  <c r="O58" i="7"/>
  <c r="F18" i="9"/>
  <c r="F19" i="9" s="1"/>
  <c r="F33" i="9"/>
  <c r="F34" i="9" s="1"/>
  <c r="F28" i="8"/>
  <c r="F34" i="8" s="1"/>
  <c r="F56" i="7"/>
  <c r="F61" i="7" s="1"/>
  <c r="J18" i="9"/>
  <c r="J19" i="9" s="1"/>
  <c r="J28" i="8"/>
  <c r="J34" i="8" s="1"/>
  <c r="J33" i="9"/>
  <c r="J34" i="9" s="1"/>
  <c r="J56" i="7"/>
  <c r="J61" i="7" s="1"/>
  <c r="L33" i="9"/>
  <c r="L34" i="9" s="1"/>
  <c r="L28" i="8"/>
  <c r="L34" i="8" s="1"/>
  <c r="L18" i="9"/>
  <c r="L19" i="9" s="1"/>
  <c r="L56" i="7"/>
  <c r="L61" i="7" s="1"/>
  <c r="D33" i="9"/>
  <c r="D34" i="9" s="1"/>
  <c r="D28" i="8"/>
  <c r="D34" i="8" s="1"/>
  <c r="D18" i="9"/>
  <c r="D19" i="9" s="1"/>
  <c r="D56" i="7"/>
  <c r="D61" i="7" s="1"/>
  <c r="K28" i="8"/>
  <c r="K34" i="8" s="1"/>
  <c r="K18" i="9"/>
  <c r="K19" i="9" s="1"/>
  <c r="K33" i="9"/>
  <c r="K34" i="9" s="1"/>
  <c r="K56" i="7"/>
  <c r="K61" i="7" s="1"/>
  <c r="M33" i="9"/>
  <c r="M34" i="9" s="1"/>
  <c r="M28" i="8"/>
  <c r="M34" i="8" s="1"/>
  <c r="M18" i="9"/>
  <c r="M19" i="9" s="1"/>
  <c r="M56" i="7"/>
  <c r="M61" i="7" s="1"/>
  <c r="E18" i="9"/>
  <c r="E19" i="9" s="1"/>
  <c r="E28" i="8"/>
  <c r="E34" i="8" s="1"/>
  <c r="E33" i="9"/>
  <c r="E34" i="9" s="1"/>
  <c r="E56" i="7"/>
  <c r="E61" i="7" s="1"/>
  <c r="G18" i="9"/>
  <c r="G19" i="9" s="1"/>
  <c r="G33" i="9"/>
  <c r="G34" i="9" s="1"/>
  <c r="G28" i="8"/>
  <c r="G34" i="8" s="1"/>
  <c r="G56" i="7"/>
  <c r="G61" i="7" s="1"/>
  <c r="N6" i="10"/>
  <c r="M14" i="10"/>
  <c r="N11" i="10"/>
  <c r="N13" i="10"/>
  <c r="N10" i="10"/>
  <c r="N12" i="10"/>
  <c r="N8" i="10"/>
  <c r="N7" i="10"/>
  <c r="O59" i="5"/>
  <c r="N33" i="9"/>
  <c r="N34" i="9" s="1"/>
  <c r="N28" i="8"/>
  <c r="N34" i="8" s="1"/>
  <c r="N18" i="9"/>
  <c r="N19" i="9" s="1"/>
  <c r="N56" i="7"/>
  <c r="N61" i="7" s="1"/>
  <c r="I18" i="9"/>
  <c r="I19" i="9" s="1"/>
  <c r="I28" i="8"/>
  <c r="I34" i="8" s="1"/>
  <c r="I33" i="9"/>
  <c r="I34" i="9" s="1"/>
  <c r="I56" i="7"/>
  <c r="I61" i="7" s="1"/>
  <c r="O49" i="7"/>
  <c r="G9" i="10" s="1"/>
  <c r="C51" i="7"/>
  <c r="H18" i="9"/>
  <c r="H19" i="9" s="1"/>
  <c r="H28" i="8"/>
  <c r="H34" i="8" s="1"/>
  <c r="H33" i="9"/>
  <c r="H34" i="9" s="1"/>
  <c r="H56" i="7"/>
  <c r="H61" i="7" s="1"/>
  <c r="N9" i="10"/>
  <c r="I23" i="9" l="1"/>
  <c r="I42" i="9"/>
  <c r="I24" i="9"/>
  <c r="N23" i="9"/>
  <c r="N42" i="9"/>
  <c r="N24" i="9"/>
  <c r="G23" i="9"/>
  <c r="G42" i="9"/>
  <c r="G24" i="9"/>
  <c r="N51" i="8"/>
  <c r="N35" i="8"/>
  <c r="L51" i="8"/>
  <c r="L35" i="8"/>
  <c r="D51" i="8"/>
  <c r="D35" i="8"/>
  <c r="D39" i="9"/>
  <c r="D38" i="9"/>
  <c r="E39" i="9"/>
  <c r="E38" i="9"/>
  <c r="N39" i="9"/>
  <c r="N38" i="9"/>
  <c r="E42" i="9"/>
  <c r="E24" i="9"/>
  <c r="E23" i="9"/>
  <c r="J38" i="9"/>
  <c r="J39" i="9"/>
  <c r="G39" i="9"/>
  <c r="G38" i="9"/>
  <c r="L42" i="9"/>
  <c r="L24" i="9"/>
  <c r="L23" i="9"/>
  <c r="E51" i="8"/>
  <c r="E35" i="8"/>
  <c r="L38" i="9"/>
  <c r="L39" i="9"/>
  <c r="J51" i="8"/>
  <c r="J35" i="8"/>
  <c r="H51" i="8"/>
  <c r="H35" i="8"/>
  <c r="J42" i="9"/>
  <c r="J24" i="9"/>
  <c r="J23" i="9"/>
  <c r="F51" i="8"/>
  <c r="F35" i="8"/>
  <c r="H38" i="9"/>
  <c r="H39" i="9"/>
  <c r="M38" i="9"/>
  <c r="M39" i="9"/>
  <c r="C33" i="9"/>
  <c r="C18" i="9"/>
  <c r="C28" i="8"/>
  <c r="O51" i="7"/>
  <c r="C56" i="7"/>
  <c r="M15" i="10"/>
  <c r="M16" i="10"/>
  <c r="C20" i="2" s="1"/>
  <c r="K42" i="9"/>
  <c r="K24" i="9"/>
  <c r="K23" i="9"/>
  <c r="F39" i="9"/>
  <c r="F38" i="9"/>
  <c r="K51" i="8"/>
  <c r="K35" i="8"/>
  <c r="F23" i="9"/>
  <c r="F42" i="9"/>
  <c r="F24" i="9"/>
  <c r="I38" i="9"/>
  <c r="I39" i="9"/>
  <c r="M42" i="9"/>
  <c r="M24" i="9"/>
  <c r="M23" i="9"/>
  <c r="M51" i="8"/>
  <c r="M35" i="8"/>
  <c r="H23" i="9"/>
  <c r="H42" i="9"/>
  <c r="H24" i="9"/>
  <c r="K38" i="9"/>
  <c r="K39" i="9"/>
  <c r="I51" i="8"/>
  <c r="I35" i="8"/>
  <c r="G51" i="8"/>
  <c r="G35" i="8"/>
  <c r="D42" i="9"/>
  <c r="D24" i="9"/>
  <c r="D23" i="9"/>
  <c r="M43" i="9" l="1"/>
  <c r="M36" i="8"/>
  <c r="M29" i="2" s="1"/>
  <c r="M38" i="8"/>
  <c r="M40" i="8" s="1"/>
  <c r="M28" i="2"/>
  <c r="F38" i="8"/>
  <c r="F40" i="8" s="1"/>
  <c r="F36" i="8"/>
  <c r="F29" i="2" s="1"/>
  <c r="F43" i="9"/>
  <c r="F44" i="9" s="1"/>
  <c r="F28" i="2"/>
  <c r="H38" i="8"/>
  <c r="H40" i="8" s="1"/>
  <c r="H43" i="9"/>
  <c r="H44" i="9" s="1"/>
  <c r="H36" i="8"/>
  <c r="H29" i="2" s="1"/>
  <c r="H28" i="2"/>
  <c r="O56" i="7"/>
  <c r="O61" i="7" s="1"/>
  <c r="J36" i="8"/>
  <c r="J29" i="2" s="1"/>
  <c r="J38" i="8"/>
  <c r="J40" i="8" s="1"/>
  <c r="J43" i="9"/>
  <c r="J28" i="2"/>
  <c r="L44" i="9"/>
  <c r="I38" i="8"/>
  <c r="I40" i="8" s="1"/>
  <c r="I36" i="8"/>
  <c r="I29" i="2" s="1"/>
  <c r="I43" i="9"/>
  <c r="I44" i="9" s="1"/>
  <c r="I28" i="2"/>
  <c r="O28" i="8"/>
  <c r="B18" i="11" s="1"/>
  <c r="C34" i="8"/>
  <c r="D43" i="9"/>
  <c r="D44" i="9" s="1"/>
  <c r="D36" i="8"/>
  <c r="D29" i="2" s="1"/>
  <c r="D38" i="8"/>
  <c r="D40" i="8" s="1"/>
  <c r="D28" i="2"/>
  <c r="L43" i="9"/>
  <c r="L36" i="8"/>
  <c r="L29" i="2" s="1"/>
  <c r="L38" i="8"/>
  <c r="L40" i="8" s="1"/>
  <c r="L28" i="2"/>
  <c r="J44" i="9"/>
  <c r="O18" i="9"/>
  <c r="C19" i="9"/>
  <c r="K36" i="8"/>
  <c r="K29" i="2" s="1"/>
  <c r="K38" i="8"/>
  <c r="K40" i="8" s="1"/>
  <c r="K43" i="9"/>
  <c r="K44" i="9" s="1"/>
  <c r="K28" i="2"/>
  <c r="N43" i="9"/>
  <c r="N44" i="9" s="1"/>
  <c r="N38" i="8"/>
  <c r="N40" i="8" s="1"/>
  <c r="N36" i="8"/>
  <c r="N29" i="2" s="1"/>
  <c r="N28" i="2"/>
  <c r="M44" i="9"/>
  <c r="G38" i="8"/>
  <c r="G40" i="8" s="1"/>
  <c r="G43" i="9"/>
  <c r="G44" i="9" s="1"/>
  <c r="G36" i="8"/>
  <c r="G29" i="2" s="1"/>
  <c r="G28" i="2"/>
  <c r="O33" i="9"/>
  <c r="C34" i="9"/>
  <c r="E43" i="9"/>
  <c r="E44" i="9" s="1"/>
  <c r="E36" i="8"/>
  <c r="E29" i="2" s="1"/>
  <c r="E38" i="8"/>
  <c r="E40" i="8" s="1"/>
  <c r="E28" i="2"/>
  <c r="E42" i="8" l="1"/>
  <c r="E43" i="8" s="1"/>
  <c r="E41" i="8"/>
  <c r="K41" i="8"/>
  <c r="K42" i="8"/>
  <c r="K43" i="8" s="1"/>
  <c r="I41" i="8"/>
  <c r="I42" i="8" s="1"/>
  <c r="I43" i="8" s="1"/>
  <c r="O34" i="8"/>
  <c r="O51" i="8" s="1"/>
  <c r="C51" i="8"/>
  <c r="C35" i="8"/>
  <c r="C38" i="9"/>
  <c r="C39" i="9"/>
  <c r="O34" i="9"/>
  <c r="C23" i="9"/>
  <c r="C42" i="9"/>
  <c r="O19" i="9"/>
  <c r="C24" i="9"/>
  <c r="G41" i="8"/>
  <c r="G42" i="8" s="1"/>
  <c r="G43" i="8" s="1"/>
  <c r="J41" i="8"/>
  <c r="J42" i="8"/>
  <c r="J43" i="8" s="1"/>
  <c r="M41" i="8"/>
  <c r="M42" i="8" s="1"/>
  <c r="M43" i="8" s="1"/>
  <c r="H41" i="8"/>
  <c r="H42" i="8"/>
  <c r="H43" i="8" s="1"/>
  <c r="F41" i="8"/>
  <c r="F42" i="8" s="1"/>
  <c r="F43" i="8" s="1"/>
  <c r="D41" i="8"/>
  <c r="D42" i="8" s="1"/>
  <c r="D43" i="8" s="1"/>
  <c r="C18" i="11"/>
  <c r="D18" i="11"/>
  <c r="B24" i="11"/>
  <c r="L41" i="8"/>
  <c r="L42" i="8" s="1"/>
  <c r="L43" i="8" s="1"/>
  <c r="N41" i="8"/>
  <c r="N42" i="8" s="1"/>
  <c r="N43" i="8" s="1"/>
  <c r="C61" i="9" l="1"/>
  <c r="O23" i="9"/>
  <c r="O24" i="9"/>
  <c r="C51" i="9"/>
  <c r="C58" i="9" s="1"/>
  <c r="C36" i="8"/>
  <c r="C29" i="2" s="1"/>
  <c r="O35" i="8"/>
  <c r="C38" i="8"/>
  <c r="C43" i="9"/>
  <c r="O43" i="9" s="1"/>
  <c r="C28" i="2"/>
  <c r="C44" i="9"/>
  <c r="O44" i="9" s="1"/>
  <c r="O42" i="9"/>
  <c r="B25" i="11"/>
  <c r="C24" i="11"/>
  <c r="D24" i="11"/>
  <c r="O39" i="9"/>
  <c r="O38" i="9"/>
  <c r="D61" i="9"/>
  <c r="D51" i="9"/>
  <c r="D56" i="9" l="1"/>
  <c r="C19" i="2"/>
  <c r="D54" i="9"/>
  <c r="E54" i="9" s="1"/>
  <c r="C17" i="2"/>
  <c r="O38" i="8"/>
  <c r="C40" i="8"/>
  <c r="E5" i="12"/>
  <c r="M17" i="10"/>
  <c r="M18" i="10" s="1"/>
  <c r="O36" i="8"/>
  <c r="D5" i="12"/>
  <c r="C8" i="2"/>
  <c r="E61" i="9"/>
  <c r="C56" i="9"/>
  <c r="C18" i="2"/>
  <c r="D58" i="9"/>
  <c r="E58" i="9" s="1"/>
  <c r="E51" i="9"/>
  <c r="C54" i="9"/>
  <c r="C16" i="2"/>
  <c r="F20" i="12" l="1"/>
  <c r="F12" i="12"/>
  <c r="F19" i="12"/>
  <c r="G6" i="12"/>
  <c r="G11" i="12"/>
  <c r="F6" i="12"/>
  <c r="G16" i="12"/>
  <c r="F11" i="12"/>
  <c r="F16" i="12"/>
  <c r="G15" i="12"/>
  <c r="F10" i="12"/>
  <c r="F15" i="12"/>
  <c r="G9" i="12"/>
  <c r="G14" i="12"/>
  <c r="F9" i="12"/>
  <c r="F14" i="12"/>
  <c r="G8" i="12"/>
  <c r="G13" i="12"/>
  <c r="F8" i="12"/>
  <c r="F13" i="12"/>
  <c r="G12" i="12"/>
  <c r="G10" i="12"/>
  <c r="G7" i="12"/>
  <c r="F7" i="12"/>
  <c r="I5" i="12"/>
  <c r="M19" i="10"/>
  <c r="C9" i="2"/>
  <c r="O40" i="8"/>
  <c r="C41" i="8"/>
  <c r="O41" i="8" s="1"/>
  <c r="C63" i="9"/>
  <c r="E56" i="9"/>
  <c r="C42" i="8" l="1"/>
  <c r="C43" i="8" l="1"/>
  <c r="O42" i="8"/>
  <c r="O43" i="8" l="1"/>
  <c r="C11" i="2" s="1"/>
  <c r="C10" i="2"/>
</calcChain>
</file>

<file path=xl/sharedStrings.xml><?xml version="1.0" encoding="utf-8"?>
<sst xmlns="http://schemas.openxmlformats.org/spreadsheetml/2006/main" count="1227" uniqueCount="771">
  <si>
    <t>Helix Support Partners</t>
  </si>
  <si>
    <t>FY2026 operating plan &amp; monthly P&amp;L forecast (Jan-Dec 2026) - Business Finance case study</t>
  </si>
  <si>
    <t>Currency: mln IRT (Toman) unless stated; unit economics in IRT. Prepared by: Nima</t>
  </si>
  <si>
    <t>MODEL MAP</t>
  </si>
  <si>
    <t>Dashboard</t>
  </si>
  <si>
    <t>Headline KPIs and charts</t>
  </si>
  <si>
    <t>Assumptions</t>
  </si>
  <si>
    <t>Every driver, Given vs Assumed, with rationale (task: "state every ratio you assume")</t>
  </si>
  <si>
    <t>Topline_ExC</t>
  </si>
  <si>
    <t>Exhibit C completed: calls handled, rate card, other fees, revenue (task 1 input)</t>
  </si>
  <si>
    <t>Capacity_ExD</t>
  </si>
  <si>
    <t>Exhibit D: volume -&gt; workload hours -&gt; productive hours/FTE -&gt; agent FTE -&gt; hiring flow -&gt; support roles -&gt; seats (tasks 1-2)</t>
  </si>
  <si>
    <t>Erlang_Check</t>
  </si>
  <si>
    <t>Erlang C validation of the 78% voice occupancy against the 80/20 service level</t>
  </si>
  <si>
    <t>Costs</t>
  </si>
  <si>
    <t>Full cost stack: people, recruitment &amp; attrition, technology &amp; telephony, facilities, management, corporate overhead (task 3)</t>
  </si>
  <si>
    <t>PnL_ExE</t>
  </si>
  <si>
    <t>Exhibit E: monthly P&amp;L revenue -&gt; net profit with GM, EBITDA, EBITDA margin per month and FY (task 4)</t>
  </si>
  <si>
    <t>UnitEcon</t>
  </si>
  <si>
    <t>Revenue, cost and contribution per call vs per ticket; which line is more profitable and why (task 5)</t>
  </si>
  <si>
    <t>CostProgram_ExF</t>
  </si>
  <si>
    <t>Exhibit F: 8 cost initiatives ranked by net 12-month EBITDA impact; 90-day flags</t>
  </si>
  <si>
    <t>ZBB_Register</t>
  </si>
  <si>
    <t>Zero-based justification of every cost line: driver, minimum level, decision, owner</t>
  </si>
  <si>
    <t>Sensitivity</t>
  </si>
  <si>
    <t>One-at-a-time flex of key drivers (tornado data)</t>
  </si>
  <si>
    <t>CONVENTIONS</t>
  </si>
  <si>
    <t>Blue text</t>
  </si>
  <si>
    <t>Hard-coded input</t>
  </si>
  <si>
    <t>Black text</t>
  </si>
  <si>
    <t>Formula</t>
  </si>
  <si>
    <t>Green text</t>
  </si>
  <si>
    <t>Link to another sheet</t>
  </si>
  <si>
    <t>Yellow fill</t>
  </si>
  <si>
    <t>Key assumption / most sensitive input</t>
  </si>
  <si>
    <t>Costs in P&amp;L</t>
  </si>
  <si>
    <t>Shown as negatives; FY column = sum (ratios recomputed on FY totals)</t>
  </si>
  <si>
    <t>NOTES ON THE CASE</t>
  </si>
  <si>
    <t>Exhibit labels</t>
  </si>
  <si>
    <t>Task text refers to "topline in Exhibit A" and "P&amp;L structure in Exhibit D"; the case pages label these Exhibit C and E. Model follows the page labels.</t>
  </si>
  <si>
    <t>Rate card</t>
  </si>
  <si>
    <t>Blank in Exhibit C - assumed 32,000 IRT/call and 17,000 IRT/ticket (same ~425 IRT per handle-second). Flex in Assumptions row p_c / p_t.</t>
  </si>
  <si>
    <t>Currency</t>
  </si>
  <si>
    <t>Exhibit B quotes salaries in mln IRT; the "$60 allowance" note is treated as already embedded in the 50 mln IRT blended salary.</t>
  </si>
  <si>
    <t>Staffing risk</t>
  </si>
  <si>
    <t>Lever vol_real (Assumptions F) flexes billable volume while staffing stays on plan.</t>
  </si>
  <si>
    <t>Helix Support Partners - FY26 operating plan: dashboard</t>
  </si>
  <si>
    <t>All figures link to the model (mln IRT unless stated).</t>
  </si>
  <si>
    <t>FY26 KPI</t>
  </si>
  <si>
    <t>Value</t>
  </si>
  <si>
    <t>Revenue</t>
  </si>
  <si>
    <t>Gross profit</t>
  </si>
  <si>
    <t>Gross margin</t>
  </si>
  <si>
    <t>EBITDA</t>
  </si>
  <si>
    <t>EBITDA margin</t>
  </si>
  <si>
    <t>Net profit</t>
  </si>
  <si>
    <t>Net margin</t>
  </si>
  <si>
    <t>Avg agent HC</t>
  </si>
  <si>
    <t>Avg total HC</t>
  </si>
  <si>
    <t>Calls handled</t>
  </si>
  <si>
    <t>Tickets handled</t>
  </si>
  <si>
    <t>EBITDA per call (IRT)</t>
  </si>
  <si>
    <t>EBITDA per ticket (IRT)</t>
  </si>
  <si>
    <t>Voice EBITDA margin</t>
  </si>
  <si>
    <t>Ticket EBITDA margin</t>
  </si>
  <si>
    <t>Cost program - net 12m EBITDA</t>
  </si>
  <si>
    <t>Chart data</t>
  </si>
  <si>
    <t>Month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</si>
  <si>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</si>
  <si>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</si>
  <si>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</si>
  <si>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</si>
  <si>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</si>
  <si>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</si>
  <si>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</si>
  <si>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</si>
  <si>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</si>
  <si>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</si>
  <si>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</si>
  <si>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</si>
  <si>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Agent HC</t>
  </si>
  <si>
    <t>Agent FTE required</t>
  </si>
  <si>
    <t>Assumptions register</t>
  </si>
  <si>
    <t>Every driver in one place. Blue = hard-coded input; yellow fill = key assumption (most sensitive). Source column states Given (case) vs Assumed (mine).</t>
  </si>
  <si>
    <t>ID</t>
  </si>
  <si>
    <t>Parameter</t>
  </si>
  <si>
    <t>Unit</t>
  </si>
  <si>
    <t>Source</t>
  </si>
  <si>
    <t>Rationale</t>
  </si>
  <si>
    <t>A. OPERATING DRIVERS - GIVEN (Exhibit A, 2025 actuals)</t>
  </si>
  <si>
    <t>aht_c</t>
  </si>
  <si>
    <t>Average handling time - call</t>
  </si>
  <si>
    <t>seconds</t>
  </si>
  <si>
    <t>Given</t>
  </si>
  <si>
    <t>Talk + hold + after-call work per answered call</t>
  </si>
  <si>
    <t>aht_t</t>
  </si>
  <si>
    <t>Average handling time - ticket</t>
  </si>
  <si>
    <t>Per ticket resolved incl. re-reads and internal notes</t>
  </si>
  <si>
    <t>sl_tgt</t>
  </si>
  <si>
    <t>Service level target - voice (% answered)</t>
  </si>
  <si>
    <t>%</t>
  </si>
  <si>
    <t>80% answered within threshold below; used in Erlang C cross-check</t>
  </si>
  <si>
    <t>sl_sec</t>
  </si>
  <si>
    <t>Service level threshold - voice</t>
  </si>
  <si>
    <t>80/20 contractual; breach triggers service credits</t>
  </si>
  <si>
    <t>occ_c</t>
  </si>
  <si>
    <t>Occupancy - voice</t>
  </si>
  <si>
    <t>Measured 2025 actual; embeds real-time queueing (Erlang) slack. Validated in Erlang sheet</t>
  </si>
  <si>
    <t>shr</t>
  </si>
  <si>
    <t>Shrinkage</t>
  </si>
  <si>
    <t>Paid but unavailable: breaks, leave, sickness, training, coaching, meetings</t>
  </si>
  <si>
    <t>paid</t>
  </si>
  <si>
    <t>Paid hours per agent per month</t>
  </si>
  <si>
    <t>hours</t>
  </si>
  <si>
    <t>22 working days x 8 hours</t>
  </si>
  <si>
    <t>sp_tl</t>
  </si>
  <si>
    <t>Span of control - team leader</t>
  </si>
  <si>
    <t>agents / TL</t>
  </si>
  <si>
    <t>sp_om</t>
  </si>
  <si>
    <t>Span of control - operations manager</t>
  </si>
  <si>
    <t>TLs / OM</t>
  </si>
  <si>
    <t>sp_qa</t>
  </si>
  <si>
    <t>Quality analysts</t>
  </si>
  <si>
    <t>agents / QA</t>
  </si>
  <si>
    <t>Manual scoring, 2% sample</t>
  </si>
  <si>
    <t>n_sd</t>
  </si>
  <si>
    <t>Site director</t>
  </si>
  <si>
    <t>FTE</t>
  </si>
  <si>
    <t>Fixed</t>
  </si>
  <si>
    <t>n_fh</t>
  </si>
  <si>
    <t>Finance / HR business partner</t>
  </si>
  <si>
    <t>tax</t>
  </si>
  <si>
    <t>Corporate tax rate</t>
  </si>
  <si>
    <t>Applied to profit before tax; monthly accrual, FY = sum</t>
  </si>
  <si>
    <t>B. OPERATING DRIVERS - ASSUMED (not in case; stated per instructions)</t>
  </si>
  <si>
    <t>occ_t</t>
  </si>
  <si>
    <t>Occupancy - tickets</t>
  </si>
  <si>
    <t>Assumed</t>
  </si>
  <si>
    <t>Tickets are asynchronous (95% &lt; 4h): worked from a backlog, so no Erlang queueing slack; 10% kept for system latency / fatigue</t>
  </si>
  <si>
    <t>ot</t>
  </si>
  <si>
    <t>Share of productive hours covered by overtime</t>
  </si>
  <si>
    <t>Given (Ex. B)</t>
  </si>
  <si>
    <t>OT hours = 3% x workload hours; agent FTE sized on remaining 97%</t>
  </si>
  <si>
    <t>attr</t>
  </si>
  <si>
    <t>Agent attrition (monthly)</t>
  </si>
  <si>
    <t>% of HC / month</t>
  </si>
  <si>
    <t>~40% annualised - typical for high-volume contact centres</t>
  </si>
  <si>
    <t>nh_tr</t>
  </si>
  <si>
    <t>New-hire training (paid, non-productive)</t>
  </si>
  <si>
    <t>months / hire</t>
  </si>
  <si>
    <t>2 weeks classroom + nesting before an agent counts as productive capacity</t>
  </si>
  <si>
    <t>sp_wfm</t>
  </si>
  <si>
    <t>Workforce management analysts</t>
  </si>
  <si>
    <t>agents / WFM</t>
  </si>
  <si>
    <t>Forecasting, scheduling, real-time adherence (industry 1:50-1:100)</t>
  </si>
  <si>
    <t>sp_trn</t>
  </si>
  <si>
    <t>Trainers</t>
  </si>
  <si>
    <t>agents / trainer</t>
  </si>
  <si>
    <t>New-hire + refresher training; driven by 40% attrition</t>
  </si>
  <si>
    <t>sp_it</t>
  </si>
  <si>
    <t>IT / MIS support</t>
  </si>
  <si>
    <t>agents / IT FTE</t>
  </si>
  <si>
    <t>Desktop, telephony and reporting support</t>
  </si>
  <si>
    <t>sp_hr</t>
  </si>
  <si>
    <t>HR, recruitment &amp; admin</t>
  </si>
  <si>
    <t>agents / FTE</t>
  </si>
  <si>
    <t>High hiring load (attrition + growth)</t>
  </si>
  <si>
    <t>n_am</t>
  </si>
  <si>
    <t>Client / account managers</t>
  </si>
  <si>
    <t>Fixed; own client QBRs, volume re-baselining and SLA reporting</t>
  </si>
  <si>
    <t>seat_r</t>
  </si>
  <si>
    <t>Agents per seat</t>
  </si>
  <si>
    <t>agents / seat</t>
  </si>
  <si>
    <t>16h x 7d operation - two shifts share a workstation; support staff 1 seat each</t>
  </si>
  <si>
    <t>seat_b</t>
  </si>
  <si>
    <t>Seat buffer on lease</t>
  </si>
  <si>
    <t>Lease sized to FY peak seats + buffer, signed for the full year (fixed cost)</t>
  </si>
  <si>
    <t>op_h</t>
  </si>
  <si>
    <t>Voice operating hours per day</t>
  </si>
  <si>
    <t>08:00-24:00, 7 days; used in Erlang C cross-check</t>
  </si>
  <si>
    <t>sched</t>
  </si>
  <si>
    <t>Schedule inefficiency allowance</t>
  </si>
  <si>
    <t>Shift granularity: rostered hours exceed pure Erlang need</t>
  </si>
  <si>
    <t>C. COST DRIVERS - GIVEN (Exhibit B) - gross monthly salary, mln IRT</t>
  </si>
  <si>
    <t>s_ag</t>
  </si>
  <si>
    <t>Agent - gross monthly salary</t>
  </si>
  <si>
    <t>mln IRT / month</t>
  </si>
  <si>
    <t>Blended across shifts incl. shift &amp; performance allowance</t>
  </si>
  <si>
    <t>s_tl</t>
  </si>
  <si>
    <t>Team leader</t>
  </si>
  <si>
    <t>s_qa</t>
  </si>
  <si>
    <t>Quality analyst</t>
  </si>
  <si>
    <t>s_om</t>
  </si>
  <si>
    <t>Operations manager</t>
  </si>
  <si>
    <t>s_sd</t>
  </si>
  <si>
    <t>s_fh</t>
  </si>
  <si>
    <t>oncost</t>
  </si>
  <si>
    <t>Employer on-costs</t>
  </si>
  <si>
    <t>% of gross</t>
  </si>
  <si>
    <t>Social security, insurance, statutory benefits - all roles incl. overtime pay</t>
  </si>
  <si>
    <t>infl</t>
  </si>
  <si>
    <t>Annual wage inflation</t>
  </si>
  <si>
    <t>Effective 1 April 2026 - all salary lines and overtime rate</t>
  </si>
  <si>
    <t>infl_m</t>
  </si>
  <si>
    <t>Wage inflation effective month #</t>
  </si>
  <si>
    <t>month # (Apr = 4)</t>
  </si>
  <si>
    <t>ot_rate</t>
  </si>
  <si>
    <t>Overtime cost per hour</t>
  </si>
  <si>
    <t>mln IRT / hour</t>
  </si>
  <si>
    <t>Gross; on-costs and April inflation applied on top</t>
  </si>
  <si>
    <t>D. COST DRIVERS - ASSUMED</t>
  </si>
  <si>
    <t>s_wfm</t>
  </si>
  <si>
    <t>WFM analyst - gross monthly salary</t>
  </si>
  <si>
    <t>Specialist analytical role, between QA and TL</t>
  </si>
  <si>
    <t>s_trn</t>
  </si>
  <si>
    <t>Trainer - gross monthly salary</t>
  </si>
  <si>
    <t>Senior-agent grade + premium</t>
  </si>
  <si>
    <t>s_it</t>
  </si>
  <si>
    <t>IT / MIS support - gross monthly salary</t>
  </si>
  <si>
    <t>Tech talent premium</t>
  </si>
  <si>
    <t>s_hr</t>
  </si>
  <si>
    <t>HR / recruitment / admin - gross monthly salary</t>
  </si>
  <si>
    <t>s_am</t>
  </si>
  <si>
    <t>Account manager - gross monthly salary</t>
  </si>
  <si>
    <t>Client-facing, OM-adjacent grade</t>
  </si>
  <si>
    <t>rec</t>
  </si>
  <si>
    <t>Recruitment cost per hire</t>
  </si>
  <si>
    <t>mln IRT / hire</t>
  </si>
  <si>
    <t>Job boards, assessment, background check, onboarding kit</t>
  </si>
  <si>
    <t>lic</t>
  </si>
  <si>
    <t>Contact-centre platform licences</t>
  </si>
  <si>
    <t>mln IRT / agent / month</t>
  </si>
  <si>
    <t>ACD/CTI, CRM &amp; ticketing, call recording, WFM/QA tools (named-agent)</t>
  </si>
  <si>
    <t>itfix</t>
  </si>
  <si>
    <t>IT infrastructure (fixed)</t>
  </si>
  <si>
    <t>Servers/cloud, data links, security, back-up</t>
  </si>
  <si>
    <t>tel_c</t>
  </si>
  <si>
    <t>Telephony - per handled call</t>
  </si>
  <si>
    <t>IRT / call</t>
  </si>
  <si>
    <t>Inbound trunk minutes incl. queue time (~1.3 min/call)</t>
  </si>
  <si>
    <t>tel_f</t>
  </si>
  <si>
    <t>Telephony - fixed (numbers, SIP trunks)</t>
  </si>
  <si>
    <t>msg_t</t>
  </si>
  <si>
    <t>Messaging / e-mail platform - per ticket</t>
  </si>
  <si>
    <t>IRT / ticket</t>
  </si>
  <si>
    <t>SMS / e-mail / in-app gateway fees</t>
  </si>
  <si>
    <t>lease</t>
  </si>
  <si>
    <t>Facility lease per seat</t>
  </si>
  <si>
    <t>mln IRT / seat / month</t>
  </si>
  <si>
    <t>~6 sqm/seat incl. common area in Tehran office space; fixed for 12-month lease</t>
  </si>
  <si>
    <t>util</t>
  </si>
  <si>
    <t>Utilities, cleaning, security per occupied seat</t>
  </si>
  <si>
    <t>Variable with seats in use</t>
  </si>
  <si>
    <t>np_infl</t>
  </si>
  <si>
    <t>Non-payroll cost indexation</t>
  </si>
  <si>
    <t>Supplier price reset at the new Iranian year (from April); lease excluded (fixed contract)</t>
  </si>
  <si>
    <t>capex</t>
  </si>
  <si>
    <t>Capex per seat (PC, headset, fit-out)</t>
  </si>
  <si>
    <t>mln IRT / seat</t>
  </si>
  <si>
    <t>Depreciated straight-line</t>
  </si>
  <si>
    <t>dep</t>
  </si>
  <si>
    <t>Depreciation life</t>
  </si>
  <si>
    <t>months</t>
  </si>
  <si>
    <t>corp</t>
  </si>
  <si>
    <t>Corporate overhead allocation</t>
  </si>
  <si>
    <t>% of revenue</t>
  </si>
  <si>
    <t>HQ legal, audit, insurance, finance systems, management fee</t>
  </si>
  <si>
    <t>ga</t>
  </si>
  <si>
    <t>Other G&amp;A per employee</t>
  </si>
  <si>
    <t>mln IRT / employee / month</t>
  </si>
  <si>
    <t>Stationery, travel, staff welfare, misc.</t>
  </si>
  <si>
    <t>fin</t>
  </si>
  <si>
    <t>Net finance cost</t>
  </si>
  <si>
    <t>Debt-free; working-capital interest ignored in P&amp;L</t>
  </si>
  <si>
    <t>E. COMMERCIAL - RATE CARD 2026 (fixed for the year; assumed - blank in Exhibit C)</t>
  </si>
  <si>
    <t>p_c</t>
  </si>
  <si>
    <t>Price per handled call</t>
  </si>
  <si>
    <t>~427 IRT per handle-second. Set from FY26 fully-loaded cost-to-serve (~29,000 IRT/call) + target margin, so the line stays profitable after the April wage step</t>
  </si>
  <si>
    <t>p_t</t>
  </si>
  <si>
    <t>Price per handled ticket</t>
  </si>
  <si>
    <t>425 IRT per handle-second, i.e. same per-second rate as calls (time-based price parity)</t>
  </si>
  <si>
    <t>sc_th</t>
  </si>
  <si>
    <t>Service-credit trigger: abandonment above</t>
  </si>
  <si>
    <t>Abandonment &gt; 3% signals an 80/20 breach risk</t>
  </si>
  <si>
    <t>sc_r</t>
  </si>
  <si>
    <t>Service credit (provision)</t>
  </si>
  <si>
    <t>% of call revenue</t>
  </si>
  <si>
    <t>Provision in Feb &amp; Nov (4% abandonment months)</t>
  </si>
  <si>
    <t>F. SCENARIO LEVERS (1.00 = base plan)</t>
  </si>
  <si>
    <t>vol_real</t>
  </si>
  <si>
    <t>Realised volume vs. staffed plan</t>
  </si>
  <si>
    <t>x</t>
  </si>
  <si>
    <t>Lever</t>
  </si>
  <si>
    <t>Flex billable volume while staffing stays on plan - shows Helix's staffing risk</t>
  </si>
  <si>
    <t>Exhibit C - 2026 Topline (volumes, rate card, revenue)</t>
  </si>
  <si>
    <t>Calls offered, abandonment and tickets per Exhibit C. Rate card and other fees are my assumptions (blank in case). Units as stated per row.</t>
  </si>
  <si>
    <t>Line item</t>
  </si>
  <si>
    <t>FY26</t>
  </si>
  <si>
    <t>Basis / note</t>
  </si>
  <si>
    <t>TIMING &amp; INDICES</t>
  </si>
  <si>
    <t>Month #</t>
  </si>
  <si>
    <t>#</t>
  </si>
  <si>
    <t>Calendar days</t>
  </si>
  <si>
    <t>days</t>
  </si>
  <si>
    <t>Wage index (1 Apr +25%)</t>
  </si>
  <si>
    <t>index</t>
  </si>
  <si>
    <t>Non-payroll cost index</t>
  </si>
  <si>
    <t>VOLUME</t>
  </si>
  <si>
    <t>Inbound calls offered</t>
  </si>
  <si>
    <t>Exhibit C (agreed with clients)</t>
  </si>
  <si>
    <t>Call abandonment rate</t>
  </si>
  <si>
    <t>Exhibit C</t>
  </si>
  <si>
    <t>Calls handled - staffing plan</t>
  </si>
  <si>
    <t>Offered x (1 - abandonment). Drives workload / FTE</t>
  </si>
  <si>
    <t>Tickets handled - staffing plan</t>
  </si>
  <si>
    <t>Realised volume vs. plan (scenario lever)</t>
  </si>
  <si>
    <t>1.00 in base case</t>
  </si>
  <si>
    <t>Calls handled / billable</t>
  </si>
  <si>
    <t>Billing per call answered</t>
  </si>
  <si>
    <t>Tickets handled / billable</t>
  </si>
  <si>
    <t>Total billable contacts</t>
  </si>
  <si>
    <t>Voice share of contacts</t>
  </si>
  <si>
    <t>RATE CARD (fixed for 2026)</t>
  </si>
  <si>
    <t>IRT</t>
  </si>
  <si>
    <t>Assumption E - see Assumptions</t>
  </si>
  <si>
    <t>One-off: onboarding / set-up fee</t>
  </si>
  <si>
    <t>mln IRT</t>
  </si>
  <si>
    <t>Assumed: fee agreed for the Sep ramp of a new ticket workstream (+23% tickets)</t>
  </si>
  <si>
    <t>Service credits (SLA provision)</t>
  </si>
  <si>
    <t>Assumed: 1.5% of call revenue when abandonment &gt; 3%</t>
  </si>
  <si>
    <t>Other / one-off fees (net)</t>
  </si>
  <si>
    <t>REVENUE (derived) - mln IRT</t>
  </si>
  <si>
    <t>Call revenue</t>
  </si>
  <si>
    <t>Ticket revenue</t>
  </si>
  <si>
    <t>Gross revenue</t>
  </si>
  <si>
    <t>Revenue growth MoM</t>
  </si>
  <si>
    <t>Exhibit D - Capacity &amp; FTE build</t>
  </si>
  <si>
    <t>Volume -&gt; workload hours -&gt; net productive hours per FTE -&gt; agent FTE -&gt; headcount flow -&gt; support roles -&gt; seats. No jump straight to headcount.</t>
  </si>
  <si>
    <t>1. WORKLOAD - volume x AHT = productive hours required</t>
  </si>
  <si>
    <t>Calls handled (plan)</t>
  </si>
  <si>
    <t>AHT - call</t>
  </si>
  <si>
    <t>sec</t>
  </si>
  <si>
    <t>Voice workload</t>
  </si>
  <si>
    <t>Tickets handled (plan)</t>
  </si>
  <si>
    <t>AHT - ticket</t>
  </si>
  <si>
    <t>Ticket workload</t>
  </si>
  <si>
    <t>Total productive hours required</t>
  </si>
  <si>
    <t>2. NET PRODUCTIVE HOURS PER AGENT FTE</t>
  </si>
  <si>
    <t>Paid hours per FTE</t>
  </si>
  <si>
    <t>Available (logged-in) hours per FTE</t>
  </si>
  <si>
    <t>Net productive hours / FTE - voice</t>
  </si>
  <si>
    <t>176 x (1-30%) x 78% = 96.1h</t>
  </si>
  <si>
    <t>Net productive hours / FTE - tickets</t>
  </si>
  <si>
    <t>176 x (1-30%) x 90% = 110.9h</t>
  </si>
  <si>
    <t>Capacity per voice FTE</t>
  </si>
  <si>
    <t>calls / month</t>
  </si>
  <si>
    <t>Capacity per ticket FTE</t>
  </si>
  <si>
    <t>tickets / month</t>
  </si>
  <si>
    <t>3. OVERTIME COVER (3% of productive hours)</t>
  </si>
  <si>
    <t>OT share of productive hours</t>
  </si>
  <si>
    <t>Overtime hours</t>
  </si>
  <si>
    <t>Assumed 1 OT hour = 1 productive hour</t>
  </si>
  <si>
    <t>Voice hours covered by rostered FTE</t>
  </si>
  <si>
    <t>Ticket hours covered by rostered FTE</t>
  </si>
  <si>
    <t>4. AGENT FTE REQUIREMENT</t>
  </si>
  <si>
    <t>Voice agent FTE required</t>
  </si>
  <si>
    <t>Ticket agent FTE required</t>
  </si>
  <si>
    <t>Total agent FTE required (productive)</t>
  </si>
  <si>
    <t>5. AGENT HEADCOUNT FLOW - no-layoff policy: surplus is released only through attrition</t>
  </si>
  <si>
    <t>Opening agent headcount</t>
  </si>
  <si>
    <t>Dec-25 exit assumed = Jan-26 requirement</t>
  </si>
  <si>
    <t>Leavers (attrition)</t>
  </si>
  <si>
    <t>New hires</t>
  </si>
  <si>
    <t>Hire only the gap after attrition</t>
  </si>
  <si>
    <t>Closing agent headcount (on payroll)</t>
  </si>
  <si>
    <t>Surplus / idle agent FTE</t>
  </si>
  <si>
    <t>Paid capacity above need (e.g. Mar after Feb peak)</t>
  </si>
  <si>
    <t>Trainee FTE (non-productive)</t>
  </si>
  <si>
    <t>Agent utilisation (required / on payroll)</t>
  </si>
  <si>
    <t>6. SUPPORT &amp; MANAGEMENT ROLES (rounded up to whole heads; ratchet - never reduced within the year)</t>
  </si>
  <si>
    <t>Team leaders (1:15 agents)</t>
  </si>
  <si>
    <t>HC</t>
  </si>
  <si>
    <t>Ratchet: support roles are not cut within the year</t>
  </si>
  <si>
    <t>Operations managers (1:6 TLs)</t>
  </si>
  <si>
    <t>Quality analysts (1:40 agents)</t>
  </si>
  <si>
    <t>WFM analysts (1:75) - assumed</t>
  </si>
  <si>
    <t>Trainers (1:60) - assumed</t>
  </si>
  <si>
    <t>IT / MIS support (1:75) - assumed</t>
  </si>
  <si>
    <t>HR, recruitment &amp; admin (1:75) - assumed</t>
  </si>
  <si>
    <t>Account managers - assumed</t>
  </si>
  <si>
    <t>Total support &amp; management</t>
  </si>
  <si>
    <t>TOTAL HEADCOUNT (agents + support)</t>
  </si>
  <si>
    <t>Agents per support FTE</t>
  </si>
  <si>
    <t>7. SEATS &amp; FACILITIES</t>
  </si>
  <si>
    <t>Agent seats (agents / 1.5)</t>
  </si>
  <si>
    <t>seats</t>
  </si>
  <si>
    <t>Support seats (1 per head)</t>
  </si>
  <si>
    <t>Seats required</t>
  </si>
  <si>
    <t>Seats leased (FY peak + buffer, fixed)</t>
  </si>
  <si>
    <t>Seat utilisation</t>
  </si>
  <si>
    <t>Erlang C cross-check - is 78% voice occupancy consistent with the 80/20 service level?</t>
  </si>
  <si>
    <t>Bottom-up interval staffing for one month. Select a month in C5. Grid columns J:AH test N = ceiling(A)+k agents; required N is the first that meets 80/20.</t>
  </si>
  <si>
    <t>Selected month</t>
  </si>
  <si>
    <t>Calls handled in month</t>
  </si>
  <si>
    <t>Calls per day</t>
  </si>
  <si>
    <t>AHT (sec)</t>
  </si>
  <si>
    <t>SL target</t>
  </si>
  <si>
    <t>SL threshold (sec)</t>
  </si>
  <si>
    <t>k (N = ceiling(A) + k)  -&gt;  cell = N if SL(N) &gt;= target else 9999</t>
  </si>
  <si>
    <t>Hour</t>
  </si>
  <si>
    <t>% of daily calls</t>
  </si>
  <si>
    <t>Calls in hour</t>
  </si>
  <si>
    <t>Traffic A (Erlangs)</t>
  </si>
  <si>
    <t>Required agents N</t>
  </si>
  <si>
    <t>SL achieved</t>
  </si>
  <si>
    <t>Occupancy A/N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</si>
  <si>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</si>
  <si>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</si>
  <si>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</si>
  <si>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</si>
  <si>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</si>
  <si>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</si>
  <si>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</si>
  <si>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</si>
  <si>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</si>
  <si>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</si>
  <si>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</si>
  <si>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</si>
  <si>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</si>
  <si>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</si>
  <si>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</si>
  <si>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</si>
  <si>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Day total</t>
  </si>
  <si>
    <t>Erlang agent-hours on phones per day (sum of N)</t>
  </si>
  <si>
    <t>+ schedule inefficiency allowance</t>
  </si>
  <si>
    <t>Erlang-implied logged-in hours per day</t>
  </si>
  <si>
    <t>Model logged-in voice hours per day (workload / 78%)</t>
  </si>
  <si>
    <t>Erlang-implied occupancy (incl. schedule allowance)</t>
  </si>
  <si>
    <t>Model occupancy assumption</t>
  </si>
  <si>
    <t>Model headroom vs Erlang need (+ = model staffs more)</t>
  </si>
  <si>
    <t>Reading: at Helix volumes (25-35 Erlangs in peak hours) Erlang C needs only ~80-86% occupancy-equivalent staffing, so 78% is a prudent, slightly conservative planning rate. The gap is the prize for intraday scheduling / part-time peak shifts (Cost Program #3). Intraday profile is assumed (e-commerce/food-delivery shape with lunch and dinner peaks).</t>
  </si>
  <si>
    <t>Cost build - full cost stack</t>
  </si>
  <si>
    <t>People, recruitment &amp; attrition, technology &amp; telephony, facilities, management and corporate overhead. mln IRT.</t>
  </si>
  <si>
    <t>INDICES</t>
  </si>
  <si>
    <t>Wage index</t>
  </si>
  <si>
    <t>LOADED COST PER HEAD (gross x 1.22 on-costs x wage index) - mln IRT / month</t>
  </si>
  <si>
    <t>Agent</t>
  </si>
  <si>
    <t>mln / FTE</t>
  </si>
  <si>
    <t>WFM analyst</t>
  </si>
  <si>
    <t>Trainer</t>
  </si>
  <si>
    <t>HR / recruitment / admin</t>
  </si>
  <si>
    <t>Finance / HR BP</t>
  </si>
  <si>
    <t>Account manager</t>
  </si>
  <si>
    <t>Overtime - loaded cost per hour</t>
  </si>
  <si>
    <t>mln / hour</t>
  </si>
  <si>
    <t>1. FRONT-LINE PEOPLE COST - mln IRT</t>
  </si>
  <si>
    <t>Agent payroll - productive requirement</t>
  </si>
  <si>
    <t>Required FTE x loaded cost</t>
  </si>
  <si>
    <t>Agent payroll - surplus / idle capacity</t>
  </si>
  <si>
    <t>Cost of the no-layoff policy</t>
  </si>
  <si>
    <t>Overtime</t>
  </si>
  <si>
    <t>Team leaders</t>
  </si>
  <si>
    <t>Total front-line people cost</t>
  </si>
  <si>
    <t>2. OPERATIONS SUPPORT &amp; MANAGEMENT - mln IRT</t>
  </si>
  <si>
    <t>Operations managers</t>
  </si>
  <si>
    <t>Workforce management</t>
  </si>
  <si>
    <t>Training team</t>
  </si>
  <si>
    <t>HR, recruitment &amp; admin team</t>
  </si>
  <si>
    <t>Site leadership (director + finance/HR BP)</t>
  </si>
  <si>
    <t>Account management</t>
  </si>
  <si>
    <t>3. RECRUITMENT &amp; ATTRITION - mln IRT</t>
  </si>
  <si>
    <t>Recruitment cost (hires x cost/hire)</t>
  </si>
  <si>
    <t>New-hire training - paid non-productive time</t>
  </si>
  <si>
    <t>Hires x 0.5 month x loaded agent cost</t>
  </si>
  <si>
    <t>Total recruitment &amp; attrition</t>
  </si>
  <si>
    <t>4. TECHNOLOGY &amp; TELEPHONY - mln IRT</t>
  </si>
  <si>
    <t>Telephony - variable (per handled call)</t>
  </si>
  <si>
    <t>Telephony - fixed (numbers, trunks)</t>
  </si>
  <si>
    <t>Messaging / e-mail platform (per ticket)</t>
  </si>
  <si>
    <t>Contact-centre platform licences (per agent)</t>
  </si>
  <si>
    <t>Total technology &amp; telephony</t>
  </si>
  <si>
    <t>5. FACILITIES - mln IRT</t>
  </si>
  <si>
    <t>Lease (seats leased x rate; fixed contract)</t>
  </si>
  <si>
    <t>Utilities, cleaning, security (seats used)</t>
  </si>
  <si>
    <t>Total facilities</t>
  </si>
  <si>
    <t>6. CORPORATE OVERHEAD &amp; G&amp;A - mln IRT</t>
  </si>
  <si>
    <t>Corporate overhead allocation (3% of revenue)</t>
  </si>
  <si>
    <t>Other G&amp;A (per employee)</t>
  </si>
  <si>
    <t>Total corporate overhead &amp; G&amp;A</t>
  </si>
  <si>
    <t>TOTAL OPERATING COST (pre-D&amp;A)</t>
  </si>
  <si>
    <t>7. DEPRECIATION - mln IRT</t>
  </si>
  <si>
    <t>Depreciation (seats leased x capex / life)</t>
  </si>
  <si>
    <t>All leased seats equipped; 3-year refresh cycle</t>
  </si>
  <si>
    <t>MEMO - COST STACK MIX</t>
  </si>
  <si>
    <t>People cost (all payroll incl. OT &amp; training)</t>
  </si>
  <si>
    <t>People cost % of total operating cost</t>
  </si>
  <si>
    <t>Exhibit E - Profit &amp; Loss, January-December 2026</t>
  </si>
  <si>
    <t>mln IRT. Costs shown negative. Column B = cost owner (PIC) for monthly variance reviews.</t>
  </si>
  <si>
    <t>PIC / owner</t>
  </si>
  <si>
    <t>REVENUE</t>
  </si>
  <si>
    <t>Commercial</t>
  </si>
  <si>
    <t>Other / one-off fees (net of service credits)</t>
  </si>
  <si>
    <t>Total revenue</t>
  </si>
  <si>
    <t>COST OF SERVICE (direct delivery)</t>
  </si>
  <si>
    <t>Agent payroll - productive</t>
  </si>
  <si>
    <t>Operations</t>
  </si>
  <si>
    <t>WFM</t>
  </si>
  <si>
    <t>Quality assurance</t>
  </si>
  <si>
    <t>Quality</t>
  </si>
  <si>
    <t>Telephony &amp; messaging</t>
  </si>
  <si>
    <t>IT</t>
  </si>
  <si>
    <t>Total cost of service</t>
  </si>
  <si>
    <t>GROSS PROFIT</t>
  </si>
  <si>
    <t>Gross margin %</t>
  </si>
  <si>
    <t>OPERATING EXPENSES (indirect)</t>
  </si>
  <si>
    <t>Operations management</t>
  </si>
  <si>
    <t>Training</t>
  </si>
  <si>
    <t>IT / MIS support staff</t>
  </si>
  <si>
    <t>HR, recruitment &amp; admin staff</t>
  </si>
  <si>
    <t>HR</t>
  </si>
  <si>
    <t>Recruitment &amp; new-hire training (attrition)</t>
  </si>
  <si>
    <t>Facilities (lease + utilities)</t>
  </si>
  <si>
    <t>Admin</t>
  </si>
  <si>
    <t>IT infrastructure</t>
  </si>
  <si>
    <t>Site leadership</t>
  </si>
  <si>
    <t>Finance</t>
  </si>
  <si>
    <t>Other G&amp;A</t>
  </si>
  <si>
    <t>Total operating expenses</t>
  </si>
  <si>
    <t>EBITDA margin %</t>
  </si>
  <si>
    <t>Depreciation &amp; amortisation</t>
  </si>
  <si>
    <t>EBIT</t>
  </si>
  <si>
    <t>Profit before tax</t>
  </si>
  <si>
    <t>Income tax (22%)</t>
  </si>
  <si>
    <t>Monthly accrual; loss months create a credit used within FY</t>
  </si>
  <si>
    <t>NET PROFIT</t>
  </si>
  <si>
    <t>Net margin %</t>
  </si>
  <si>
    <t>KPIs</t>
  </si>
  <si>
    <t>Calls handled (billable)</t>
  </si>
  <si>
    <t>Tickets handled (billable)</t>
  </si>
  <si>
    <t>Agent headcount on payroll</t>
  </si>
  <si>
    <t>Total headcount</t>
  </si>
  <si>
    <t>Blended cost per contact (pre-D&amp;A)</t>
  </si>
  <si>
    <t>Blended revenue per contact</t>
  </si>
  <si>
    <t>Revenue per agent on payroll</t>
  </si>
  <si>
    <t>FY = monthly average</t>
  </si>
  <si>
    <t>People cost % revenue</t>
  </si>
  <si>
    <t>Idle-capacity cost % revenue</t>
  </si>
  <si>
    <t>Unit economics - revenue, cost and contribution per call vs per ticket</t>
  </si>
  <si>
    <t>Activity-based allocation: agent cost by channel FTE share, OT by workload hours, telephony to voice, messaging to tickets; overheads by FTE share.</t>
  </si>
  <si>
    <t>ALLOCATION KEYS</t>
  </si>
  <si>
    <t>Voice share of agent FTE</t>
  </si>
  <si>
    <t>Ticket share of agent FTE</t>
  </si>
  <si>
    <t>Voice share of workload hours</t>
  </si>
  <si>
    <t>Ticket share of workload hours</t>
  </si>
  <si>
    <t>VOICE (per handled call)</t>
  </si>
  <si>
    <t>(-) Agent labour (productive + idle), by FTE share</t>
  </si>
  <si>
    <t>(-) Overtime, by workload-hour share</t>
  </si>
  <si>
    <t>(-) Channel cost (telephony / messaging)</t>
  </si>
  <si>
    <t>CM1 - contribution after direct delivery</t>
  </si>
  <si>
    <t>(-) Supervision, QA, ops support, recruitment, licences</t>
  </si>
  <si>
    <t>CM2 - contribution after semi-variable cost</t>
  </si>
  <si>
    <t>(-) Fixed overhead (facilities, IT infra, site, AM, corporate)</t>
  </si>
  <si>
    <t>EBITDA contribution</t>
  </si>
  <si>
    <t>Billable volume</t>
  </si>
  <si>
    <t>CM1 per contact</t>
  </si>
  <si>
    <t>CM2 per contact</t>
  </si>
  <si>
    <t>EBITDA per contact</t>
  </si>
  <si>
    <t>TICKETS (per handled ticket)</t>
  </si>
  <si>
    <t>RECONCILIATION TO P&amp;L</t>
  </si>
  <si>
    <t>Other / one-off fees (not allocated)</t>
  </si>
  <si>
    <t>Sum: voice + tickets + other</t>
  </si>
  <si>
    <t>EBITDA per P&amp;L</t>
  </si>
  <si>
    <t>Check (should be 0)</t>
  </si>
  <si>
    <t>FY26 UNIT ECONOMICS SUMMARY</t>
  </si>
  <si>
    <t>Call</t>
  </si>
  <si>
    <t>Ticket</t>
  </si>
  <si>
    <t>Ticket vs call</t>
  </si>
  <si>
    <t>AHT</t>
  </si>
  <si>
    <t>Revenue per contact (price)</t>
  </si>
  <si>
    <t>Direct delivery cost per contact (agent labour, OT, channel)</t>
  </si>
  <si>
    <t>Fully-loaded cost per contact (pre-D&amp;A)</t>
  </si>
  <si>
    <t>CM1 per contact (after direct delivery)</t>
  </si>
  <si>
    <t>CM2 per contact (after semi-variable)</t>
  </si>
  <si>
    <t>EBITDA per contact (fully loaded)</t>
  </si>
  <si>
    <t>CM1 margin</t>
  </si>
  <si>
    <t>pp</t>
  </si>
  <si>
    <t>Revenue per handle-second</t>
  </si>
  <si>
    <t>IRT / sec</t>
  </si>
  <si>
    <t>Fully-loaded cost per handle-second</t>
  </si>
  <si>
    <t>Net productive hours per agent FTE</t>
  </si>
  <si>
    <t>Contacts per agent FTE per month</t>
  </si>
  <si>
    <t>EBITDA per agent FTE-month</t>
  </si>
  <si>
    <t>Verdict</t>
  </si>
  <si>
    <t>Why (FY26): both lines are priced at ~425 IRT per handle-second, so the difference is entirely on the cost side -</t>
  </si>
  <si>
    <t>1) Occupancy: tickets are worked from a backlog (90%) while voice must keep Erlang slack for 80/20 (78%) -&gt; ~15% more paid agent time per handle-second on voice.</t>
  </si>
  <si>
    <t>2) Channel cost: telephony ~590 IRT per call (incl. fixed trunks) vs ~110 IRT per ticket for messaging.</t>
  </si>
  <si>
    <t>3) Risk: voice carries service-credit exposure (Feb / Nov at 4% abandonment) and peak-hour staffing; tickets can be smoothed across hours.</t>
  </si>
  <si>
    <t>Calls still contribute more absolute CM1 per contact (higher price), so the right commercial move is not to shed voice but to (a) re-price voice at a premium per second in 2027, and (b) shift contact mix to async channels where clients agree.</t>
  </si>
  <si>
    <t>Exhibit F - Cost improvement program (ranked by 12-month EBITDA impact, net of investment)</t>
  </si>
  <si>
    <t>Each initiative is quantified off the FY26 model base. 12-month window starts at launch; benefits begin after the lead time. Investment fully expensed (conservative). Standalone estimates - see overlap haircut.</t>
  </si>
  <si>
    <t>Initiative</t>
  </si>
  <si>
    <t>Mechanism - what changes</t>
  </si>
  <si>
    <t>Driver</t>
  </si>
  <si>
    <t>Baseline</t>
  </si>
  <si>
    <t>Target</t>
  </si>
  <si>
    <t>FY26 cost base affected (mln)</t>
  </si>
  <si>
    <t>Run-rate annual saving (mln)</t>
  </si>
  <si>
    <t>Lead time (months)</t>
  </si>
  <si>
    <t>Months live in 12-m window</t>
  </si>
  <si>
    <t>One-off investment (mln)</t>
  </si>
  <si>
    <t>Running cost (mln / month)</t>
  </si>
  <si>
    <t>Net 12-m EBITDA impact (mln)</t>
  </si>
  <si>
    <t>Rank</t>
  </si>
  <si>
    <t>&lt;= 90 days?</t>
  </si>
  <si>
    <t>Key risk / dependency</t>
  </si>
  <si>
    <t>Owner</t>
  </si>
  <si>
    <t>Voice AHT reduction (agent-assist &amp; IVR pre-authentication)</t>
  </si>
  <si>
    <t>Knowledge base + CRM screen-pop, ID&amp;V moved into IVR, auto call-summary to cut after-call work. Revenue is per call, so every second saved is pure margin.</t>
  </si>
  <si>
    <t>AHT call (sec)</t>
  </si>
  <si>
    <t>Must not hurt FCR / CSAT (repeat calls breach SLA); needs client IT integration for screen-pop. Gainshare risk at 2027 renewal.</t>
  </si>
  <si>
    <t>Ops / IT</t>
  </si>
  <si>
    <t>Shrinkage reduction (absence &amp; adherence management)</t>
  </si>
  <si>
    <t>Real-time adherence, attendance bonus, move coaching/training into low-occupancy intervals, tighter break control.</t>
  </si>
  <si>
    <t>Shrinkage (%)</t>
  </si>
  <si>
    <t>Agent fatigue -&gt; attrition; requires WFM real-time capability and TL discipline.</t>
  </si>
  <si>
    <t>Intraday scheduling: part-time peak shifts (voice)</t>
  </si>
  <si>
    <t>Add 4-hour part-time shifts at lunch/dinner peaks; split shifts. Erlang check shows 80-86% occupancy achievable vs 78% planned.</t>
  </si>
  <si>
    <t>Voice occupancy (%)</t>
  </si>
  <si>
    <t>Part-time labour availability; SL 80/20 breach risk if forecast error rises.</t>
  </si>
  <si>
    <t>Phased seat capacity (don't pay in January for November's seats)</t>
  </si>
  <si>
    <t>Lease H1 seats at H1 peak + buffer; add H2 expansion (or flexible/co-working seats) from July; hybrid working for ticket agents as enabler.</t>
  </si>
  <si>
    <t>Seats leased in H1</t>
  </si>
  <si>
    <t>Landlord flexibility / expansion space availability; fit-out lead time for H2 seats.</t>
  </si>
  <si>
    <t>Admin / Finance</t>
  </si>
  <si>
    <t>Team-leader span of control 1:15 -&gt; 1:18</t>
  </si>
  <si>
    <t>Real-time dashboards + automated QA give TLs time back; restructure teams at the April pay review.</t>
  </si>
  <si>
    <t>Agents per TL</t>
  </si>
  <si>
    <t>Coaching quality and attrition; change management with TLs.</t>
  </si>
  <si>
    <t>Telephony &amp; platform renegotiation</t>
  </si>
  <si>
    <t>Tender SIP trunks, volume-tier per-minute pricing, move licences from named to concurrent seats (1.5 agents/seat).</t>
  </si>
  <si>
    <t>Unit price reduction (%)</t>
  </si>
  <si>
    <t>Switching risk / downtime; vendor lock-in clauses.</t>
  </si>
  <si>
    <t>IT / Procurement</t>
  </si>
  <si>
    <t>Flex capacity for short peaks (no permanent hires for 1-month spikes)</t>
  </si>
  <si>
    <t>Cover Feb / Nov spikes with overtime, cross-skilled back-office and temp agency staff instead of permanent hires that become idle in Mar / Dec.</t>
  </si>
  <si>
    <t>Residual idle cost (%)</t>
  </si>
  <si>
    <t>Temp quality; OT fatigue; requires 3-month rolling WFM hiring plan. Target = residual idle share.</t>
  </si>
  <si>
    <t>WFM / HR</t>
  </si>
  <si>
    <t>Automated QA (speech &amp; text analytics)</t>
  </si>
  <si>
    <t>AI scoring of 100% of contacts replaces 2% manual sampling; QA analysts move to calibration &amp; coaching (1:40 -&gt; 1:80).</t>
  </si>
  <si>
    <t>Agents per QA</t>
  </si>
  <si>
    <t>Tool accuracy in Persian ASR; client acceptance of automated scoring.</t>
  </si>
  <si>
    <t>Total - standalone sum</t>
  </si>
  <si>
    <t>Overlap haircut (initiatives share the same FTE pool)</t>
  </si>
  <si>
    <t>Program net 12-month EBITDA impact</t>
  </si>
  <si>
    <t>FY26 EBITDA (base plan)</t>
  </si>
  <si>
    <t>FY26 EBITDA margin incl. program (12-m net impact)</t>
  </si>
  <si>
    <t>Base EBITDA margin</t>
  </si>
  <si>
    <t>Initiatives deliverable within 90 days</t>
  </si>
  <si>
    <t>Considered but not prioritised on a 12-month EBITDA lens:</t>
  </si>
  <si>
    <t>- Attrition reduction 4% -&gt; 3% / month: saves ~15 hires x (recruitment + 0.5 month training) but a retention bonus large enough to move attrition costs about the same in year 1; pursue for quality/AHT, not for 12-m EBITDA.</t>
  </si>
  <si>
    <t>- Ticket deflection / self-service: cuts billable volume (revenue is per handled contact) - only with a gainshare clause in the 2027 contract.</t>
  </si>
  <si>
    <t>Commercial levers (outside cost program, for the 2027 rate card): wage-indexation clause (the April +25% step is unfunded in a fixed 2026 price), volume collar +/-10% with take-or-pay to transfer staffing risk, and SLA bonus/malus symmetry.</t>
  </si>
  <si>
    <t>Zero-based cost register - every FY26 cost line justified from its driver</t>
  </si>
  <si>
    <t>ZBB lens: what activity drives the cost, what is the minimum level that meets contract / law, and what decision we take. Links to the Cost Program (#).</t>
  </si>
  <si>
    <t>Cost line</t>
  </si>
  <si>
    <t>FY26 (mln IRT)</t>
  </si>
  <si>
    <t>Cost per contact (IRT)</t>
  </si>
  <si>
    <t>Driver (what makes it move)</t>
  </si>
  <si>
    <t>ZBB category</t>
  </si>
  <si>
    <t>Justification - minimum level needed</t>
  </si>
  <si>
    <t>Decision</t>
  </si>
  <si>
    <t>Linked initiative</t>
  </si>
  <si>
    <t>Volume x AHT / net productive hours</t>
  </si>
  <si>
    <t>Core - volume-driven</t>
  </si>
  <si>
    <t>Contractual volume at 80/20 SL; sized bottom-up, not on last year's HC</t>
  </si>
  <si>
    <t>Optimise</t>
  </si>
  <si>
    <t>#1 #2 #3</t>
  </si>
  <si>
    <t>Agent payroll - surplus / idle</t>
  </si>
  <si>
    <t>Hiring for 1-month peaks + no-layoff policy</t>
  </si>
  <si>
    <t>Non-value-adding</t>
  </si>
  <si>
    <t>Zero is the ZBB target: idle capacity buys no revenue</t>
  </si>
  <si>
    <t>Eliminate</t>
  </si>
  <si>
    <t>#4</t>
  </si>
  <si>
    <t>3% of productive hours</t>
  </si>
  <si>
    <t>Core - flex</t>
  </si>
  <si>
    <t>Cheapest flex for spikes (no shrinkage on OT hours)</t>
  </si>
  <si>
    <t>Keep / use for peaks</t>
  </si>
  <si>
    <t>Span of control 1:15</t>
  </si>
  <si>
    <t>Core - semi-variable</t>
  </si>
  <si>
    <t>Coaching + escalation; span can widen with tooling</t>
  </si>
  <si>
    <t>#5</t>
  </si>
  <si>
    <t>1:40 agents, 2% manual sample</t>
  </si>
  <si>
    <t>Contractual / risk</t>
  </si>
  <si>
    <t>Client QA reporting is contractual; method can be automated</t>
  </si>
  <si>
    <t>#8</t>
  </si>
  <si>
    <t>Handled calls / tickets</t>
  </si>
  <si>
    <t>Unavoidable per contact; unit price negotiable</t>
  </si>
  <si>
    <t>Renegotiate</t>
  </si>
  <si>
    <t>#6</t>
  </si>
  <si>
    <t>CC platform licences</t>
  </si>
  <si>
    <t>Named agents</t>
  </si>
  <si>
    <t>Needed per active seat, not per named agent</t>
  </si>
  <si>
    <t>1 per 6 TLs</t>
  </si>
  <si>
    <t>Minimum 1 per shift block</t>
  </si>
  <si>
    <t>Keep</t>
  </si>
  <si>
    <t>1 per 75 agents</t>
  </si>
  <si>
    <t>Value-adding</t>
  </si>
  <si>
    <t>Pays for itself: every 1pp occupancy = ~1% of agent cost</t>
  </si>
  <si>
    <t>Invest</t>
  </si>
  <si>
    <t>#2 #3</t>
  </si>
  <si>
    <t>1 per 60 agents (attrition-driven)</t>
  </si>
  <si>
    <t>Scales with hires, not with HC</t>
  </si>
  <si>
    <t>Re-base on hires</t>
  </si>
  <si>
    <t>Support</t>
  </si>
  <si>
    <t>Uptime of telephony is SLA-critical</t>
  </si>
  <si>
    <t>Hiring volume ~40% of HC per year</t>
  </si>
  <si>
    <t>Recruitment &amp; new-hire training</t>
  </si>
  <si>
    <t>Hires = growth + attrition</t>
  </si>
  <si>
    <t>Non-value-adding (partly)</t>
  </si>
  <si>
    <t>Growth hires are needed; attrition-replacement hires are waste</t>
  </si>
  <si>
    <t>Reduce</t>
  </si>
  <si>
    <t>Facilities</t>
  </si>
  <si>
    <t>Peak seats leased for 12 months</t>
  </si>
  <si>
    <t>Fixed / committed</t>
  </si>
  <si>
    <t>Lease sized to Nov peak sits partly empty in H1</t>
  </si>
  <si>
    <t>Challenge</t>
  </si>
  <si>
    <t>#7</t>
  </si>
  <si>
    <t>Security &amp; redundancy are client requirements</t>
  </si>
  <si>
    <t>Mandatory</t>
  </si>
  <si>
    <t>Given in case</t>
  </si>
  <si>
    <t>Number of clients</t>
  </si>
  <si>
    <t>Protects revenue and drives quarterly re-baselining</t>
  </si>
  <si>
    <t>Allocated</t>
  </si>
  <si>
    <t>Should be activity-based (SLA for HQ services)</t>
  </si>
  <si>
    <t>Per employee</t>
  </si>
  <si>
    <t>Discretionary</t>
  </si>
  <si>
    <t>Policy-based caps per head</t>
  </si>
  <si>
    <t>Cap</t>
  </si>
  <si>
    <t>Total operating cost (pre-D&amp;A)</t>
  </si>
  <si>
    <t>Check vs P&amp;L (should be 0)</t>
  </si>
  <si>
    <t>Sensitivity - FY26 EBITDA vs key drivers (one at a time)</t>
  </si>
  <si>
    <t>Values are outputs of full model re-runs with one input flexed (static snapshot; base case linked live in row 5). To re-run: change the input on Assumptions and read PnL_ExE!O EBITDA.</t>
  </si>
  <si>
    <t>Low case</t>
  </si>
  <si>
    <t>High case</t>
  </si>
  <si>
    <t>EBITDA - low (mln)</t>
  </si>
  <si>
    <t>EBITDA - high (mln)</t>
  </si>
  <si>
    <t>Delta low vs base</t>
  </si>
  <si>
    <t>Delta high vs base</t>
  </si>
  <si>
    <t>Swing (abs)</t>
  </si>
  <si>
    <t>EBITDA margin low</t>
  </si>
  <si>
    <t>EBITDA margin high</t>
  </si>
  <si>
    <t>Base case FY26 EBITDA</t>
  </si>
  <si>
    <t>Realised volume vs staffed plan (base 1.00)</t>
  </si>
  <si>
    <t>AHT - call, sec (base 75)</t>
  </si>
  <si>
    <t>Agent gross salary, mln IRT (base 50)</t>
  </si>
  <si>
    <t>Wage inflation from April (base 25%)</t>
  </si>
  <si>
    <t>Price per call, IRT (base 32,000)</t>
  </si>
  <si>
    <t>Shrinkage (base 30%)</t>
  </si>
  <si>
    <t>Volume re-planned, staffing follows (base 1.00)</t>
  </si>
  <si>
    <t>Occupancy - voice (base 78%)</t>
  </si>
  <si>
    <t>Occupancy - tickets (base 90%)</t>
  </si>
  <si>
    <t>Non-payroll indexation (base 15%)</t>
  </si>
  <si>
    <t>Agent attrition per month (base 4%)</t>
  </si>
  <si>
    <t>STRESS CASES</t>
  </si>
  <si>
    <t>Stress: high-inflation scenario, wages +52% from April</t>
  </si>
  <si>
    <t>Stress: volume -10% vs plan AND wage +35%</t>
  </si>
  <si>
    <t>Low / high = the input value used in each re-run; EBITDA columns are static outputs (italic) of a full recalculation; deltas are live vs base.</t>
  </si>
  <si>
    <t>Reading: (1) volume shortfall with staffing locked to plan is the largest risk - Helix carries staffing risk, so a 10% miss removes ~70% of EBITDA;</t>
  </si>
  <si>
    <t>(2) labour-cost drivers (wage inflation, salary, AHT, shrinkage) dominate the rest - people are ~70% of revenue;</t>
  </si>
  <si>
    <t>(3) In a high-inflation labour market, +25% is optimistic: at +52% Helix is only break-even at EBITDA -&gt; a wage-indexation clause is essential.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</si>
</sst>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#,##0.0;\(#,##0.0\);\-"/>
    <numFmt numFmtId="167" formatCode="#,##0.00;\(#,##0.00\);\-"/>
  </numFmts>
  <fonts count="38" x14ac:knownFonts="1">
    <font>
      <sz val="11"/>
      <color theme="1"/>
      <name val="Calibri"/>
      <family val="2"/>
      <charset val="1"/>
    </font>
    <font>
      <b/>
      <sz val="20"/>
      <color rgb="FF1F3864"/>
      <name val="Arial"/>
      <charset val="1"/>
    </font>
    <font>
      <sz val="12"/>
      <color rgb="FF404040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u/>
      <sz val="11"/>
      <color rgb="FF2E75B6"/>
      <name val="Arial"/>
      <charset val="1"/>
    </font>
    <font>
      <sz val="10"/>
      <name val="Arial"/>
      <charset val="1"/>
    </font>
    <font>
      <b/>
      <sz val="11"/>
      <color rgb="FF0000FF"/>
      <name val="Arial"/>
      <charset val="1"/>
    </font>
    <font>
      <b/>
      <sz val="11"/>
      <color rgb="FF000000"/>
      <name val="Arial"/>
      <charset val="1"/>
    </font>
    <font>
      <b/>
      <sz val="11"/>
      <color rgb="FF008000"/>
      <name val="Arial"/>
      <charset val="1"/>
    </font>
    <font>
      <b/>
      <sz val="14"/>
      <color rgb="FF1F3864"/>
      <name val="Arial"/>
      <charset val="1"/>
    </font>
    <font>
      <sz val="11"/>
      <name val="Arial"/>
      <charset val="1"/>
    </font>
    <font>
      <b/>
      <sz val="10"/>
      <color rgb="FF008000"/>
      <name val="Arial"/>
      <charset val="1"/>
    </font>
    <font>
      <b/>
      <sz val="11"/>
      <name val="Arial"/>
      <charset val="1"/>
    </font>
    <font>
      <sz val="9"/>
      <name val="Arial"/>
      <charset val="1"/>
    </font>
    <font>
      <sz val="10"/>
      <color rgb="FF008000"/>
      <name val="Arial"/>
      <charset val="1"/>
    </font>
    <font>
      <b/>
      <sz val="11"/>
      <color rgb="FF1F3864"/>
      <name val="Arial"/>
      <charset val="1"/>
    </font>
    <font>
      <sz val="8"/>
      <color rgb="FF808080"/>
      <name val="Arial"/>
      <charset val="1"/>
    </font>
    <font>
      <sz val="10"/>
      <color rgb="FF0000FF"/>
      <name val="Arial"/>
      <charset val="1"/>
    </font>
    <font>
      <sz val="9"/>
      <color rgb="FF595959"/>
      <name val="Arial"/>
      <charset val="1"/>
    </font>
    <font>
      <b/>
      <sz val="9"/>
      <color rgb="FF375623"/>
      <name val="Arial"/>
      <charset val="1"/>
    </font>
    <font>
      <i/>
      <sz val="9"/>
      <color rgb="FF404040"/>
      <name val="Arial"/>
      <charset val="1"/>
    </font>
    <font>
      <b/>
      <sz val="9"/>
      <color rgb="FFC00000"/>
      <name val="Arial"/>
      <charset val="1"/>
    </font>
    <font>
      <b/>
      <sz val="9"/>
      <color rgb="FF7030A0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8"/>
      <color rgb="FF595959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i/>
      <sz val="10"/>
      <name val="Arial"/>
      <charset val="1"/>
    </font>
    <font>
      <b/>
      <sz val="8"/>
      <color rgb="FFFFFFFF"/>
      <name val="Arial"/>
      <charset val="1"/>
    </font>
    <font>
      <i/>
      <sz val="9"/>
      <name val="Arial"/>
      <charset val="1"/>
    </font>
    <font>
      <sz val="8"/>
      <color rgb="FF595959"/>
      <name val="Arial"/>
      <charset val="1"/>
    </font>
    <font>
      <b/>
      <sz val="11"/>
      <color rgb="FF00B050"/>
      <name val="Arial"/>
      <charset val="1"/>
    </font>
    <font>
      <b/>
      <sz val="9"/>
      <name val="Arial"/>
      <charset val="1"/>
    </font>
    <font>
      <b/>
      <sz val="9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2E75B6"/>
        <bgColor rgb="FF4A7EBB"/>
      </patternFill>
    </fill>
    <fill>
      <patternFill patternType="solid">
        <fgColor rgb="FF00B050"/>
        <bgColor rgb="FF008080"/>
      </patternFill>
    </fill>
  </fills>
  <borders count="3"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33" fillId="0" borderId="0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3" borderId="0" xfId="0" applyFont="1" applyFill="1"/>
    <xf numFmtId="0" fontId="10" fillId="0" borderId="0" xfId="0" applyFont="1"/>
    <xf numFmtId="0" fontId="11" fillId="0" borderId="0" xfId="0" applyFont="1"/>
    <xf numFmtId="164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0" fontId="13" fillId="0" borderId="0" xfId="0" applyFont="1"/>
    <xf numFmtId="0" fontId="14" fillId="0" borderId="0" xfId="0" applyFont="1"/>
    <xf numFmtId="164" fontId="15" fillId="0" borderId="0" xfId="0" applyNumberFormat="1" applyFont="1"/>
    <xf numFmtId="165" fontId="15" fillId="0" borderId="0" xfId="0" applyNumberFormat="1" applyFont="1"/>
    <xf numFmtId="166" fontId="15" fillId="0" borderId="0" xfId="0" applyNumberFormat="1" applyFont="1"/>
    <xf numFmtId="0" fontId="16" fillId="4" borderId="0" xfId="0" applyFont="1" applyFill="1"/>
    <xf numFmtId="0" fontId="0" fillId="4" borderId="0" xfId="0" applyFill="1"/>
    <xf numFmtId="0" fontId="17" fillId="0" borderId="0" xfId="0" applyFont="1"/>
    <xf numFmtId="164" fontId="18" fillId="0" borderId="0" xfId="0" applyNumberFormat="1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165" fontId="18" fillId="0" borderId="0" xfId="0" applyNumberFormat="1" applyFont="1"/>
    <xf numFmtId="165" fontId="18" fillId="3" borderId="0" xfId="0" applyNumberFormat="1" applyFont="1" applyFill="1"/>
    <xf numFmtId="0" fontId="22" fillId="0" borderId="0" xfId="0" applyFont="1"/>
    <xf numFmtId="166" fontId="18" fillId="0" borderId="0" xfId="0" applyNumberFormat="1" applyFont="1"/>
    <xf numFmtId="167" fontId="18" fillId="0" borderId="0" xfId="0" applyNumberFormat="1" applyFont="1"/>
    <xf numFmtId="164" fontId="18" fillId="3" borderId="0" xfId="0" applyNumberFormat="1" applyFont="1" applyFill="1"/>
    <xf numFmtId="167" fontId="18" fillId="3" borderId="0" xfId="0" applyNumberFormat="1" applyFont="1" applyFill="1"/>
    <xf numFmtId="0" fontId="23" fillId="0" borderId="0" xfId="0" applyFont="1"/>
    <xf numFmtId="0" fontId="24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5" fillId="4" borderId="0" xfId="0" applyFont="1" applyFill="1"/>
    <xf numFmtId="0" fontId="0" fillId="5" borderId="0" xfId="0" applyFill="1"/>
    <xf numFmtId="164" fontId="26" fillId="5" borderId="0" xfId="0" applyNumberFormat="1" applyFont="1" applyFill="1"/>
    <xf numFmtId="167" fontId="27" fillId="0" borderId="0" xfId="0" applyNumberFormat="1" applyFont="1"/>
    <xf numFmtId="167" fontId="26" fillId="5" borderId="0" xfId="0" applyNumberFormat="1" applyFont="1" applyFill="1"/>
    <xf numFmtId="0" fontId="28" fillId="0" borderId="0" xfId="0" applyFont="1"/>
    <xf numFmtId="165" fontId="26" fillId="5" borderId="0" xfId="0" applyNumberFormat="1" applyFont="1" applyFill="1"/>
    <xf numFmtId="0" fontId="29" fillId="0" borderId="0" xfId="0" applyFont="1"/>
    <xf numFmtId="164" fontId="26" fillId="0" borderId="0" xfId="0" applyNumberFormat="1" applyFont="1"/>
    <xf numFmtId="164" fontId="30" fillId="0" borderId="0" xfId="0" applyNumberFormat="1" applyFont="1"/>
    <xf numFmtId="167" fontId="15" fillId="0" borderId="0" xfId="0" applyNumberFormat="1" applyFont="1"/>
    <xf numFmtId="0" fontId="6" fillId="0" borderId="1" xfId="0" applyFont="1" applyBorder="1"/>
    <xf numFmtId="0" fontId="3" fillId="0" borderId="1" xfId="0" applyFont="1" applyBorder="1"/>
    <xf numFmtId="164" fontId="27" fillId="0" borderId="1" xfId="0" applyNumberFormat="1" applyFont="1" applyBorder="1"/>
    <xf numFmtId="164" fontId="26" fillId="5" borderId="1" xfId="0" applyNumberFormat="1" applyFont="1" applyFill="1" applyBorder="1"/>
    <xf numFmtId="165" fontId="27" fillId="0" borderId="0" xfId="0" applyNumberFormat="1" applyFont="1"/>
    <xf numFmtId="164" fontId="27" fillId="0" borderId="0" xfId="0" applyNumberFormat="1" applyFont="1"/>
    <xf numFmtId="0" fontId="29" fillId="0" borderId="1" xfId="0" applyFont="1" applyBorder="1"/>
    <xf numFmtId="164" fontId="26" fillId="0" borderId="1" xfId="0" applyNumberFormat="1" applyFont="1" applyBorder="1"/>
    <xf numFmtId="0" fontId="29" fillId="0" borderId="2" xfId="0" applyFont="1" applyBorder="1"/>
    <xf numFmtId="0" fontId="3" fillId="0" borderId="2" xfId="0" applyFont="1" applyBorder="1"/>
    <xf numFmtId="164" fontId="26" fillId="0" borderId="2" xfId="0" applyNumberFormat="1" applyFont="1" applyBorder="1"/>
    <xf numFmtId="164" fontId="26" fillId="5" borderId="2" xfId="0" applyNumberFormat="1" applyFont="1" applyFill="1" applyBorder="1"/>
    <xf numFmtId="0" fontId="31" fillId="0" borderId="0" xfId="0" applyFont="1"/>
    <xf numFmtId="166" fontId="27" fillId="0" borderId="0" xfId="0" applyNumberFormat="1" applyFont="1"/>
    <xf numFmtId="166" fontId="26" fillId="5" borderId="0" xfId="0" applyNumberFormat="1" applyFont="1" applyFill="1"/>
    <xf numFmtId="166" fontId="26" fillId="0" borderId="0" xfId="0" applyNumberFormat="1" applyFont="1"/>
    <xf numFmtId="166" fontId="26" fillId="0" borderId="1" xfId="0" applyNumberFormat="1" applyFont="1" applyBorder="1"/>
    <xf numFmtId="166" fontId="26" fillId="5" borderId="1" xfId="0" applyNumberFormat="1" applyFont="1" applyFill="1" applyBorder="1"/>
    <xf numFmtId="166" fontId="26" fillId="0" borderId="2" xfId="0" applyNumberFormat="1" applyFont="1" applyBorder="1"/>
    <xf numFmtId="166" fontId="26" fillId="5" borderId="2" xfId="0" applyNumberFormat="1" applyFont="1" applyFill="1" applyBorder="1"/>
    <xf numFmtId="49" fontId="18" fillId="3" borderId="0" xfId="0" applyNumberFormat="1" applyFont="1" applyFill="1"/>
    <xf numFmtId="0" fontId="4" fillId="2" borderId="0" xfId="0" applyFont="1" applyFill="1" applyAlignment="1">
      <alignment horizontal="center" wrapText="1"/>
    </xf>
    <xf numFmtId="0" fontId="32" fillId="6" borderId="0" xfId="0" applyFont="1" applyFill="1"/>
    <xf numFmtId="164" fontId="17" fillId="0" borderId="0" xfId="0" applyNumberFormat="1" applyFont="1"/>
    <xf numFmtId="0" fontId="13" fillId="0" borderId="2" xfId="0" applyFont="1" applyBorder="1"/>
    <xf numFmtId="165" fontId="26" fillId="0" borderId="2" xfId="0" applyNumberFormat="1" applyFont="1" applyBorder="1"/>
    <xf numFmtId="0" fontId="0" fillId="0" borderId="2" xfId="0" applyBorder="1"/>
    <xf numFmtId="165" fontId="26" fillId="0" borderId="0" xfId="0" applyNumberFormat="1" applyFont="1"/>
    <xf numFmtId="164" fontId="26" fillId="4" borderId="2" xfId="0" applyNumberFormat="1" applyFont="1" applyFill="1" applyBorder="1"/>
    <xf numFmtId="0" fontId="34" fillId="0" borderId="0" xfId="0" applyFont="1"/>
    <xf numFmtId="0" fontId="4" fillId="7" borderId="0" xfId="0" applyFont="1" applyFill="1"/>
    <xf numFmtId="0" fontId="35" fillId="0" borderId="0" xfId="0" applyFont="1"/>
    <xf numFmtId="0" fontId="36" fillId="0" borderId="0" xfId="0" applyFont="1"/>
    <xf numFmtId="0" fontId="33" fillId="0" borderId="0" xfId="0" applyFont="1"/>
    <xf numFmtId="0" fontId="37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36" fillId="0" borderId="0" xfId="0" applyFont="1" applyAlignment="1">
      <alignment vertical="top" wrapText="1"/>
    </xf>
    <xf numFmtId="166" fontId="15" fillId="0" borderId="0" xfId="0" applyNumberFormat="1" applyFont="1" applyAlignment="1">
      <alignment vertical="top"/>
    </xf>
    <xf numFmtId="166" fontId="18" fillId="3" borderId="0" xfId="0" applyNumberFormat="1" applyFont="1" applyFill="1" applyAlignment="1">
      <alignment vertical="top"/>
    </xf>
    <xf numFmtId="164" fontId="27" fillId="0" borderId="0" xfId="0" applyNumberFormat="1" applyFont="1" applyAlignment="1">
      <alignment vertical="top"/>
    </xf>
    <xf numFmtId="164" fontId="18" fillId="0" borderId="0" xfId="0" applyNumberFormat="1" applyFont="1" applyAlignment="1">
      <alignment vertical="top"/>
    </xf>
    <xf numFmtId="164" fontId="26" fillId="0" borderId="0" xfId="0" applyNumberFormat="1" applyFont="1" applyAlignment="1">
      <alignment vertical="top"/>
    </xf>
    <xf numFmtId="0" fontId="36" fillId="0" borderId="0" xfId="0" applyFont="1" applyAlignment="1">
      <alignment horizontal="center" vertical="top"/>
    </xf>
    <xf numFmtId="165" fontId="15" fillId="0" borderId="0" xfId="0" applyNumberFormat="1" applyFont="1" applyAlignment="1">
      <alignment vertical="top"/>
    </xf>
    <xf numFmtId="165" fontId="18" fillId="3" borderId="0" xfId="0" applyNumberFormat="1" applyFont="1" applyFill="1" applyAlignment="1">
      <alignment vertical="top"/>
    </xf>
    <xf numFmtId="164" fontId="15" fillId="0" borderId="0" xfId="0" applyNumberFormat="1" applyFont="1" applyAlignment="1">
      <alignment vertical="top"/>
    </xf>
    <xf numFmtId="165" fontId="27" fillId="0" borderId="0" xfId="0" applyNumberFormat="1" applyFont="1" applyAlignment="1">
      <alignment vertical="top"/>
    </xf>
    <xf numFmtId="164" fontId="26" fillId="4" borderId="0" xfId="0" applyNumberFormat="1" applyFont="1" applyFill="1"/>
    <xf numFmtId="0" fontId="37" fillId="2" borderId="0" xfId="0" applyFont="1" applyFill="1" applyAlignment="1">
      <alignment vertical="center" wrapText="1"/>
    </xf>
    <xf numFmtId="0" fontId="15" fillId="0" borderId="0" xfId="0" applyFont="1"/>
    <xf numFmtId="0" fontId="37" fillId="2" borderId="0" xfId="0" applyFont="1" applyFill="1" applyAlignment="1">
      <alignment wrapText="1"/>
    </xf>
    <xf numFmtId="164" fontId="33" fillId="0" borderId="0" xfId="0" applyNumberFormat="1" applyFont="1"/>
    <xf numFmtId="165" fontId="3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08080"/>
      <rgbColor rgb="FF9999FF"/>
      <rgbColor rgb="FFBE4B48"/>
      <rgbColor rgb="FFFFF2CC"/>
      <rgbColor rgb="FFDDEBF7"/>
      <rgbColor rgb="FF660066"/>
      <rgbColor rgb="FFFF808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8B855"/>
      <rgbColor rgb="FFFFC000"/>
      <rgbColor rgb="FFFF9900"/>
      <rgbColor rgb="FFFF6600"/>
      <rgbColor rgb="FF595959"/>
      <rgbColor rgb="FF878787"/>
      <rgbColor rgb="FF1F3864"/>
      <rgbColor rgb="FF00B050"/>
      <rgbColor rgb="FF003300"/>
      <rgbColor rgb="FF375623"/>
      <rgbColor rgb="FFC0504D"/>
      <rgbColor rgb="FF7030A0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vs EBITDA (mln IRT)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Dashboard!$C$26:$N$26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Dashboard!$C$27:$N$27</c:f>
              <c:numCache>
                <c:formatCode>#,##0;\(#,##0\);\-</c:formatCode>
                <c:ptCount val="12"/>
                <c:pt idx="0">
                  <c:v>13502.8</c:v>
                </c:pt>
                <c:pt idx="1">
                  <c:v>14803.312</c:v>
                </c:pt>
                <c:pt idx="2">
                  <c:v>11840.8</c:v>
                </c:pt>
                <c:pt idx="3">
                  <c:v>12808</c:v>
                </c:pt>
                <c:pt idx="4">
                  <c:v>13605.2</c:v>
                </c:pt>
                <c:pt idx="5">
                  <c:v>15029.6</c:v>
                </c:pt>
                <c:pt idx="6">
                  <c:v>16794</c:v>
                </c:pt>
                <c:pt idx="7">
                  <c:v>17591.2</c:v>
                </c:pt>
                <c:pt idx="8">
                  <c:v>21492.799999999999</c:v>
                </c:pt>
                <c:pt idx="9">
                  <c:v>21316.400000000001</c:v>
                </c:pt>
                <c:pt idx="10">
                  <c:v>23139.968000000001</c:v>
                </c:pt>
                <c:pt idx="11">
                  <c:v>22140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4-43CB-AE3C-1CB2AB6AF72A}"/>
            </c:ext>
          </c:extLst>
        </c:ser>
        <c:ser>
          <c:idx val="1"/>
          <c:order val="1"/>
          <c:tx>
            <c:strRef>
              <c:f>Dashboard!$B$28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Dashboard!$C$26:$N$26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Dashboard!$C$28:$N$28</c:f>
              <c:numCache>
                <c:formatCode>#,##0;\(#,##0\);\-</c:formatCode>
                <c:ptCount val="12"/>
                <c:pt idx="0">
                  <c:v>3226.1710930550917</c:v>
                </c:pt>
                <c:pt idx="1">
                  <c:v>3187.1183515723769</c:v>
                </c:pt>
                <c:pt idx="2">
                  <c:v>1101.7066055056025</c:v>
                </c:pt>
                <c:pt idx="3">
                  <c:v>81.838128607501858</c:v>
                </c:pt>
                <c:pt idx="4">
                  <c:v>830.85006588226679</c:v>
                </c:pt>
                <c:pt idx="5">
                  <c:v>950.7560291591135</c:v>
                </c:pt>
                <c:pt idx="6">
                  <c:v>1440.1245528853842</c:v>
                </c:pt>
                <c:pt idx="7">
                  <c:v>2028.571852944895</c:v>
                </c:pt>
                <c:pt idx="8">
                  <c:v>3332.9965800187447</c:v>
                </c:pt>
                <c:pt idx="9">
                  <c:v>3139.4379751120814</c:v>
                </c:pt>
                <c:pt idx="10">
                  <c:v>3435.2555562401758</c:v>
                </c:pt>
                <c:pt idx="11">
                  <c:v>3807.027713143334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4-43CB-AE3C-1CB2AB6AF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547556"/>
        <c:axId val="15286430"/>
      </c:barChart>
      <c:lineChart>
        <c:grouping val="standard"/>
        <c:varyColors val="0"/>
        <c:ser>
          <c:idx val="2"/>
          <c:order val="2"/>
          <c:tx>
            <c:strRef>
              <c:f>Dashboard!$B$29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Dashboard!$C$26:$N$26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Dashboard!$C$29:$N$29</c:f>
              <c:numCache>
                <c:formatCode>0.0%;\(0.0%\);\-</c:formatCode>
                <c:ptCount val="12"/>
                <c:pt idx="0">
                  <c:v>0.23892608148347691</c:v>
                </c:pt>
                <c:pt idx="1">
                  <c:v>0.21529765444195034</c:v>
                </c:pt>
                <c:pt idx="2">
                  <c:v>9.3043257677319316E-2</c:v>
                </c:pt>
                <c:pt idx="3">
                  <c:v>6.389610291029189E-3</c:v>
                </c:pt>
                <c:pt idx="4">
                  <c:v>6.1068566862836765E-2</c:v>
                </c:pt>
                <c:pt idx="5">
                  <c:v>6.3258904372645544E-2</c:v>
                </c:pt>
                <c:pt idx="6">
                  <c:v>8.5752325407013469E-2</c:v>
                </c:pt>
                <c:pt idx="7">
                  <c:v>0.11531742308341074</c:v>
                </c:pt>
                <c:pt idx="8">
                  <c:v>0.1550750288477418</c:v>
                </c:pt>
                <c:pt idx="9">
                  <c:v>0.14727805704115524</c:v>
                </c:pt>
                <c:pt idx="10">
                  <c:v>0.14845550159102103</c:v>
                </c:pt>
                <c:pt idx="11">
                  <c:v>0.17195247123501961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724-43CB-AE3C-1CB2AB6AF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5553542"/>
        <c:axId val="18728272"/>
      </c:lineChart>
      <c:catAx>
        <c:axId val="655475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286430"/>
        <c:crosses val="autoZero"/>
        <c:auto val="1"/>
        <c:lblAlgn val="ctr"/>
        <c:lblOffset val="100"/>
        <c:noMultiLvlLbl val="0"/>
      </c:catAx>
      <c:valAx>
        <c:axId val="15286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547556"/>
        <c:crosses val="autoZero"/>
        <c:crossBetween val="between"/>
      </c:valAx>
      <c:catAx>
        <c:axId val="155535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728272"/>
        <c:crosses val="autoZero"/>
        <c:auto val="1"/>
        <c:lblAlgn val="ctr"/>
        <c:lblOffset val="100"/>
        <c:noMultiLvlLbl val="0"/>
      </c:catAx>
      <c:valAx>
        <c:axId val="1872827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EBITDA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55354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Agent FTE required vs on payroll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Dashboard!$B$30</c:f>
              <c:strCache>
                <c:ptCount val="1"/>
                <c:pt idx="0">
                  <c:v>Agent HC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Dashboard!$C$26:$N$26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Dashboard!$C$30:$N$30</c:f>
              <c:numCache>
                <c:formatCode>#,##0.0;\(#,##0.0\);\-</c:formatCode>
                <c:ptCount val="12"/>
                <c:pt idx="0">
                  <c:v>85.6874606874607</c:v>
                </c:pt>
                <c:pt idx="1">
                  <c:v>95.033824200490884</c:v>
                </c:pt>
                <c:pt idx="2">
                  <c:v>91.232471232471255</c:v>
                </c:pt>
                <c:pt idx="3">
                  <c:v>87.58317238317241</c:v>
                </c:pt>
                <c:pt idx="4">
                  <c:v>86.36039886039886</c:v>
                </c:pt>
                <c:pt idx="5">
                  <c:v>95.575913284246624</c:v>
                </c:pt>
                <c:pt idx="6">
                  <c:v>106.73547131880467</c:v>
                </c:pt>
                <c:pt idx="7">
                  <c:v>111.82923943340612</c:v>
                </c:pt>
                <c:pt idx="8">
                  <c:v>130.02660919327587</c:v>
                </c:pt>
                <c:pt idx="9">
                  <c:v>135.00354776396443</c:v>
                </c:pt>
                <c:pt idx="10">
                  <c:v>147.8968562301896</c:v>
                </c:pt>
                <c:pt idx="11">
                  <c:v>141.98098198098202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E6-480E-9A24-CC22683BB076}"/>
            </c:ext>
          </c:extLst>
        </c:ser>
        <c:ser>
          <c:idx val="1"/>
          <c:order val="1"/>
          <c:tx>
            <c:strRef>
              <c:f>Dashboard!$B$31</c:f>
              <c:strCache>
                <c:ptCount val="1"/>
                <c:pt idx="0">
                  <c:v>Agent FTE required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Dashboard!$C$26:$N$26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Dashboard!$C$31:$N$31</c:f>
              <c:numCache>
                <c:formatCode>#,##0.0;\(#,##0.0\);\-</c:formatCode>
                <c:ptCount val="12"/>
                <c:pt idx="0">
                  <c:v>85.6874606874607</c:v>
                </c:pt>
                <c:pt idx="1">
                  <c:v>95.033824200490884</c:v>
                </c:pt>
                <c:pt idx="2">
                  <c:v>75.200840825840842</c:v>
                </c:pt>
                <c:pt idx="3">
                  <c:v>81.266630745797414</c:v>
                </c:pt>
                <c:pt idx="4">
                  <c:v>86.36039886039886</c:v>
                </c:pt>
                <c:pt idx="5">
                  <c:v>95.575913284246624</c:v>
                </c:pt>
                <c:pt idx="6">
                  <c:v>106.73547131880467</c:v>
                </c:pt>
                <c:pt idx="7">
                  <c:v>111.82923943340612</c:v>
                </c:pt>
                <c:pt idx="8">
                  <c:v>130.02660919327587</c:v>
                </c:pt>
                <c:pt idx="9">
                  <c:v>135.00354776396443</c:v>
                </c:pt>
                <c:pt idx="10">
                  <c:v>147.8968562301896</c:v>
                </c:pt>
                <c:pt idx="11">
                  <c:v>139.98048633465302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E6-480E-9A24-CC22683BB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593480"/>
        <c:axId val="86832708"/>
      </c:lineChart>
      <c:catAx>
        <c:axId val="5159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832708"/>
        <c:crosses val="autoZero"/>
        <c:auto val="1"/>
        <c:lblAlgn val="ctr"/>
        <c:lblOffset val="100"/>
        <c:noMultiLvlLbl val="0"/>
      </c:catAx>
      <c:valAx>
        <c:axId val="868327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5934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FY26 EBITDA delta vs base (mln IRT)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Sensitivity!$F$4</c:f>
              <c:strCache>
                <c:ptCount val="1"/>
                <c:pt idx="0">
                  <c:v>Delta low vs base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Sensitivity!$A$6:$A$16</c:f>
              <c:strCache>
                <c:ptCount val="11"/>
                <c:pt idx="0">
                  <c:v>Realised volume vs staffed plan (base 1.00)</c:v>
                </c:pt>
                <c:pt idx="1">
                  <c:v>AHT - call, sec (base 75)</c:v>
                </c:pt>
                <c:pt idx="2">
                  <c:v>Agent gross salary, mln IRT (base 50)</c:v>
                </c:pt>
                <c:pt idx="3">
                  <c:v>Wage inflation from April (base 25%)</c:v>
                </c:pt>
                <c:pt idx="4">
                  <c:v>Price per call, IRT (base 32,000)</c:v>
                </c:pt>
                <c:pt idx="5">
                  <c:v>Shrinkage (base 30%)</c:v>
                </c:pt>
                <c:pt idx="6">
                  <c:v>Volume re-planned, staffing follows (base 1.00)</c:v>
                </c:pt>
                <c:pt idx="7">
                  <c:v>Occupancy - voice (base 78%)</c:v>
                </c:pt>
                <c:pt idx="8">
                  <c:v>Occupancy - tickets (base 90%)</c:v>
                </c:pt>
                <c:pt idx="9">
                  <c:v>Non-payroll indexation (base 15%)</c:v>
                </c:pt>
                <c:pt idx="10">
                  <c:v>Agent attrition per month (base 4%)</c:v>
                </c:pt>
              </c:strCache>
            </c:strRef>
          </c:cat>
          <c:val>
            <c:numRef>
              <c:f>Sensitivity!$F$5:$F$16</c:f>
              <c:numCache>
                <c:formatCode>#,##0;\(#,##0\);\-</c:formatCode>
                <c:ptCount val="12"/>
                <c:pt idx="1">
                  <c:v>-19452.754504126569</c:v>
                </c:pt>
                <c:pt idx="2">
                  <c:v>-10367.254504126568</c:v>
                </c:pt>
                <c:pt idx="3">
                  <c:v>-10005.954504126566</c:v>
                </c:pt>
                <c:pt idx="4">
                  <c:v>9477.6454958734321</c:v>
                </c:pt>
                <c:pt idx="5">
                  <c:v>-7201.9545041265665</c:v>
                </c:pt>
                <c:pt idx="6">
                  <c:v>-6876.0545041265686</c:v>
                </c:pt>
                <c:pt idx="7">
                  <c:v>-4290.6545041265672</c:v>
                </c:pt>
                <c:pt idx="8">
                  <c:v>-4960.8545041265679</c:v>
                </c:pt>
                <c:pt idx="9">
                  <c:v>-5824.3545041265679</c:v>
                </c:pt>
                <c:pt idx="10">
                  <c:v>-1477.8545041265679</c:v>
                </c:pt>
                <c:pt idx="11">
                  <c:v>-148.95450412656646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3-4274-9068-9A6E523B9B21}"/>
            </c:ext>
          </c:extLst>
        </c:ser>
        <c:ser>
          <c:idx val="1"/>
          <c:order val="1"/>
          <c:tx>
            <c:strRef>
              <c:f>Sensitivity!$G$4</c:f>
              <c:strCache>
                <c:ptCount val="1"/>
                <c:pt idx="0">
                  <c:v>Delta high vs base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Sensitivity!$A$6:$A$16</c:f>
              <c:strCache>
                <c:ptCount val="11"/>
                <c:pt idx="0">
                  <c:v>Realised volume vs staffed plan (base 1.00)</c:v>
                </c:pt>
                <c:pt idx="1">
                  <c:v>AHT - call, sec (base 75)</c:v>
                </c:pt>
                <c:pt idx="2">
                  <c:v>Agent gross salary, mln IRT (base 50)</c:v>
                </c:pt>
                <c:pt idx="3">
                  <c:v>Wage inflation from April (base 25%)</c:v>
                </c:pt>
                <c:pt idx="4">
                  <c:v>Price per call, IRT (base 32,000)</c:v>
                </c:pt>
                <c:pt idx="5">
                  <c:v>Shrinkage (base 30%)</c:v>
                </c:pt>
                <c:pt idx="6">
                  <c:v>Volume re-planned, staffing follows (base 1.00)</c:v>
                </c:pt>
                <c:pt idx="7">
                  <c:v>Occupancy - voice (base 78%)</c:v>
                </c:pt>
                <c:pt idx="8">
                  <c:v>Occupancy - tickets (base 90%)</c:v>
                </c:pt>
                <c:pt idx="9">
                  <c:v>Non-payroll indexation (base 15%)</c:v>
                </c:pt>
                <c:pt idx="10">
                  <c:v>Agent attrition per month (base 4%)</c:v>
                </c:pt>
              </c:strCache>
            </c:strRef>
          </c:cat>
          <c:val>
            <c:numRef>
              <c:f>Sensitivity!$G$5:$G$16</c:f>
              <c:numCache>
                <c:formatCode>#,##0;\(#,##0\);\-</c:formatCode>
                <c:ptCount val="12"/>
                <c:pt idx="1">
                  <c:v>19452.745495873431</c:v>
                </c:pt>
                <c:pt idx="2">
                  <c:v>10796.745495873431</c:v>
                </c:pt>
                <c:pt idx="3">
                  <c:v>10005.945495873435</c:v>
                </c:pt>
                <c:pt idx="4">
                  <c:v>-9477.6545041265672</c:v>
                </c:pt>
                <c:pt idx="5">
                  <c:v>7201.945495873435</c:v>
                </c:pt>
                <c:pt idx="6">
                  <c:v>5129.6454958734321</c:v>
                </c:pt>
                <c:pt idx="7">
                  <c:v>4742.2454958734306</c:v>
                </c:pt>
                <c:pt idx="8">
                  <c:v>3625.5454958734335</c:v>
                </c:pt>
                <c:pt idx="9">
                  <c:v>1634.1454958734321</c:v>
                </c:pt>
                <c:pt idx="10">
                  <c:v>1477.8454958734328</c:v>
                </c:pt>
                <c:pt idx="11">
                  <c:v>117.34549587343281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13-4274-9068-9A6E523B9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346838"/>
        <c:axId val="66423680"/>
      </c:barChart>
      <c:catAx>
        <c:axId val="5034683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423680"/>
        <c:crosses val="autoZero"/>
        <c:auto val="1"/>
        <c:lblAlgn val="ctr"/>
        <c:lblOffset val="100"/>
        <c:noMultiLvlLbl val="0"/>
      </c:catAx>
      <c:valAx>
        <c:axId val="664236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468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160920</xdr:rowOff>
    </xdr:from>
    <xdr:to>
      <xdr:col>14</xdr:col>
      <xdr:colOff>4680</xdr:colOff>
      <xdr:row>17</xdr:row>
      <xdr:rowOff>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</xdr:row>
      <xdr:rowOff>160920</xdr:rowOff>
    </xdr:from>
    <xdr:to>
      <xdr:col>24</xdr:col>
      <xdr:colOff>4320</xdr:colOff>
      <xdr:row>17</xdr:row>
      <xdr:rowOff>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160920</xdr:rowOff>
    </xdr:from>
    <xdr:to>
      <xdr:col>21</xdr:col>
      <xdr:colOff>364680</xdr:colOff>
      <xdr:row>19</xdr:row>
      <xdr:rowOff>68760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elix_FY26_PnL_Model.xlsx" TargetMode="External"/><Relationship Id="rId3" Type="http://schemas.openxmlformats.org/officeDocument/2006/relationships/hyperlink" Target="Helix_FY26_PnL_Model.xlsx" TargetMode="External"/><Relationship Id="rId7" Type="http://schemas.openxmlformats.org/officeDocument/2006/relationships/hyperlink" Target="Helix_FY26_PnL_Model.xlsx" TargetMode="External"/><Relationship Id="rId2" Type="http://schemas.openxmlformats.org/officeDocument/2006/relationships/hyperlink" Target="Helix_FY26_PnL_Model.xlsx" TargetMode="External"/><Relationship Id="rId1" Type="http://schemas.openxmlformats.org/officeDocument/2006/relationships/hyperlink" Target="Helix_FY26_PnL_Model.xlsx" TargetMode="External"/><Relationship Id="rId6" Type="http://schemas.openxmlformats.org/officeDocument/2006/relationships/hyperlink" Target="Helix_FY26_PnL_Model.xlsx" TargetMode="External"/><Relationship Id="rId11" Type="http://schemas.openxmlformats.org/officeDocument/2006/relationships/hyperlink" Target="Helix_FY26_PnL_Model.xlsx" TargetMode="External"/><Relationship Id="rId5" Type="http://schemas.openxmlformats.org/officeDocument/2006/relationships/hyperlink" Target="Helix_FY26_PnL_Model.xlsx" TargetMode="External"/><Relationship Id="rId10" Type="http://schemas.openxmlformats.org/officeDocument/2006/relationships/hyperlink" Target="Helix_FY26_PnL_Model.xlsx" TargetMode="External"/><Relationship Id="rId4" Type="http://schemas.openxmlformats.org/officeDocument/2006/relationships/hyperlink" Target="Helix_FY26_PnL_Model.xlsx" TargetMode="External"/><Relationship Id="rId9" Type="http://schemas.openxmlformats.org/officeDocument/2006/relationships/hyperlink" Target="Helix_FY26_PnL_Model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C30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22" customWidth="1"/>
    <col min="3" max="3" width="130" customWidth="1"/>
  </cols>
  <sheetData>
    <row r="2" spans="2:3" ht="26.25" x14ac:dyDescent="0.4">
      <c r="B2" s="2" t="s">
        <v>0</v>
      </c>
    </row>
    <row r="3" spans="2:3" ht="15.75" x14ac:dyDescent="0.25">
      <c r="B3" s="3" t="s">
        <v>1</v>
      </c>
    </row>
    <row r="4" spans="2:3" x14ac:dyDescent="0.25">
      <c r="B4" s="4" t="s">
        <v>2</v>
      </c>
    </row>
    <row r="6" spans="2:3" x14ac:dyDescent="0.25">
      <c r="B6" s="5" t="s">
        <v>3</v>
      </c>
      <c r="C6" s="6"/>
    </row>
    <row r="7" spans="2:3" x14ac:dyDescent="0.25">
      <c r="B7" s="7" t="s">
        <v>4</v>
      </c>
      <c r="C7" s="8" t="s">
        <v>5</v>
      </c>
    </row>
    <row r="8" spans="2:3" x14ac:dyDescent="0.25">
      <c r="B8" s="7" t="s">
        <v>6</v>
      </c>
      <c r="C8" s="8" t="s">
        <v>7</v>
      </c>
    </row>
    <row r="9" spans="2:3" x14ac:dyDescent="0.25">
      <c r="B9" s="7" t="s">
        <v>8</v>
      </c>
      <c r="C9" s="8" t="s">
        <v>9</v>
      </c>
    </row>
    <row r="10" spans="2:3" x14ac:dyDescent="0.25">
      <c r="B10" s="7" t="s">
        <v>10</v>
      </c>
      <c r="C10" s="8" t="s">
        <v>11</v>
      </c>
    </row>
    <row r="11" spans="2:3" x14ac:dyDescent="0.25">
      <c r="B11" s="7" t="s">
        <v>12</v>
      </c>
      <c r="C11" s="8" t="s">
        <v>13</v>
      </c>
    </row>
    <row r="12" spans="2:3" x14ac:dyDescent="0.25">
      <c r="B12" s="7" t="s">
        <v>14</v>
      </c>
      <c r="C12" s="8" t="s">
        <v>15</v>
      </c>
    </row>
    <row r="13" spans="2:3" x14ac:dyDescent="0.25">
      <c r="B13" s="7" t="s">
        <v>16</v>
      </c>
      <c r="C13" s="8" t="s">
        <v>17</v>
      </c>
    </row>
    <row r="14" spans="2:3" x14ac:dyDescent="0.25">
      <c r="B14" s="7" t="s">
        <v>18</v>
      </c>
      <c r="C14" s="8" t="s">
        <v>19</v>
      </c>
    </row>
    <row r="15" spans="2:3" x14ac:dyDescent="0.25">
      <c r="B15" s="7" t="s">
        <v>20</v>
      </c>
      <c r="C15" s="8" t="s">
        <v>21</v>
      </c>
    </row>
    <row r="16" spans="2:3" x14ac:dyDescent="0.25">
      <c r="B16" s="7" t="s">
        <v>22</v>
      </c>
      <c r="C16" s="8" t="s">
        <v>23</v>
      </c>
    </row>
    <row r="17" spans="2:3" x14ac:dyDescent="0.25">
      <c r="B17" s="7" t="s">
        <v>24</v>
      </c>
      <c r="C17" s="8" t="s">
        <v>25</v>
      </c>
    </row>
    <row r="19" spans="2:3" x14ac:dyDescent="0.25">
      <c r="B19" s="5" t="s">
        <v>26</v>
      </c>
      <c r="C19" s="6"/>
    </row>
    <row r="20" spans="2:3" x14ac:dyDescent="0.25">
      <c r="B20" s="9" t="s">
        <v>27</v>
      </c>
      <c r="C20" s="8" t="s">
        <v>28</v>
      </c>
    </row>
    <row r="21" spans="2:3" x14ac:dyDescent="0.25">
      <c r="B21" s="10" t="s">
        <v>29</v>
      </c>
      <c r="C21" s="8" t="s">
        <v>30</v>
      </c>
    </row>
    <row r="22" spans="2:3" x14ac:dyDescent="0.25">
      <c r="B22" s="11" t="s">
        <v>31</v>
      </c>
      <c r="C22" s="8" t="s">
        <v>32</v>
      </c>
    </row>
    <row r="23" spans="2:3" x14ac:dyDescent="0.25">
      <c r="B23" s="12" t="s">
        <v>33</v>
      </c>
      <c r="C23" s="8" t="s">
        <v>34</v>
      </c>
    </row>
    <row r="24" spans="2:3" x14ac:dyDescent="0.25">
      <c r="B24" s="10" t="s">
        <v>35</v>
      </c>
      <c r="C24" s="8" t="s">
        <v>36</v>
      </c>
    </row>
    <row r="26" spans="2:3" x14ac:dyDescent="0.25">
      <c r="B26" s="5" t="s">
        <v>37</v>
      </c>
      <c r="C26" s="6"/>
    </row>
    <row r="27" spans="2:3" x14ac:dyDescent="0.25">
      <c r="B27" s="10" t="s">
        <v>38</v>
      </c>
      <c r="C27" s="8" t="s">
        <v>39</v>
      </c>
    </row>
    <row r="28" spans="2:3" x14ac:dyDescent="0.25">
      <c r="B28" s="10" t="s">
        <v>40</v>
      </c>
      <c r="C28" s="8" t="s">
        <v>41</v>
      </c>
    </row>
    <row r="29" spans="2:3" x14ac:dyDescent="0.25">
      <c r="B29" s="10" t="s">
        <v>42</v>
      </c>
      <c r="C29" s="8" t="s">
        <v>43</v>
      </c>
    </row>
    <row r="30" spans="2:3" x14ac:dyDescent="0.25">
      <c r="B30" s="10" t="s">
        <v>44</v>
      </c>
      <c r="C30" s="8" t="s">
        <v>45</v>
      </c>
    </row>
  </sheetData>
  <hyperlinks>
    <hyperlink ref="B7" r:id="rId1" location="'Dashboard'!A1" xr:uid="{00000000-0004-0000-0000-000000000000}"/>
    <hyperlink ref="B8" r:id="rId2" location="'Assumptions'!A1" xr:uid="{00000000-0004-0000-0000-000001000000}"/>
    <hyperlink ref="B9" r:id="rId3" location="'Topline_ExC'!A1" xr:uid="{00000000-0004-0000-0000-000002000000}"/>
    <hyperlink ref="B10" r:id="rId4" location="'Capacity_ExD'!A1" xr:uid="{00000000-0004-0000-0000-000003000000}"/>
    <hyperlink ref="B11" r:id="rId5" location="'Erlang_Check'!A1" xr:uid="{00000000-0004-0000-0000-000004000000}"/>
    <hyperlink ref="B12" r:id="rId6" location="'Costs'!A1" xr:uid="{00000000-0004-0000-0000-000005000000}"/>
    <hyperlink ref="B13" r:id="rId7" location="'PnL_ExE'!A1" xr:uid="{00000000-0004-0000-0000-000006000000}"/>
    <hyperlink ref="B14" r:id="rId8" location="'UnitEcon'!A1" xr:uid="{00000000-0004-0000-0000-000007000000}"/>
    <hyperlink ref="B15" r:id="rId9" location="'CostProgram_ExF'!A1" xr:uid="{00000000-0004-0000-0000-000008000000}"/>
    <hyperlink ref="B16" r:id="rId10" location="'ZBB_Register'!A1" xr:uid="{00000000-0004-0000-0000-000009000000}"/>
    <hyperlink ref="B17" r:id="rId11" location="'Sensitivity'!A1" xr:uid="{00000000-0004-0000-0000-00000A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N31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30" customWidth="1"/>
    <col min="3" max="3" width="14" customWidth="1"/>
  </cols>
  <sheetData>
    <row r="1" spans="1:3" ht="18" x14ac:dyDescent="0.25">
      <c r="A1" s="13" t="s">
        <v>46</v>
      </c>
    </row>
    <row r="2" spans="1:3" x14ac:dyDescent="0.25">
      <c r="A2" s="4" t="s">
        <v>47</v>
      </c>
    </row>
    <row r="4" spans="1:3" x14ac:dyDescent="0.25">
      <c r="B4" s="5" t="s">
        <v>48</v>
      </c>
      <c r="C4" s="5" t="s">
        <v>49</v>
      </c>
    </row>
    <row r="5" spans="1:3" x14ac:dyDescent="0.25">
      <c r="B5" s="14" t="s">
        <v>50</v>
      </c>
      <c r="C5" s="15">
        <f>PnL_ExE!$O$9</f>
        <v>204064.08</v>
      </c>
    </row>
    <row r="6" spans="1:3" x14ac:dyDescent="0.25">
      <c r="B6" s="14" t="s">
        <v>51</v>
      </c>
      <c r="C6" s="15">
        <f>PnL_ExE!$O$19</f>
        <v>81882.653896286967</v>
      </c>
    </row>
    <row r="7" spans="1:3" x14ac:dyDescent="0.25">
      <c r="B7" s="14" t="s">
        <v>52</v>
      </c>
      <c r="C7" s="16">
        <f>PnL_ExE!$O$20</f>
        <v>0.4012595156202256</v>
      </c>
    </row>
    <row r="8" spans="1:3" x14ac:dyDescent="0.25">
      <c r="B8" s="14" t="s">
        <v>53</v>
      </c>
      <c r="C8" s="15">
        <f>PnL_ExE!$O$35</f>
        <v>26561.854504126568</v>
      </c>
    </row>
    <row r="9" spans="1:3" x14ac:dyDescent="0.25">
      <c r="B9" s="14" t="s">
        <v>54</v>
      </c>
      <c r="C9" s="16">
        <f>PnL_ExE!$O$36</f>
        <v>0.13016428223980708</v>
      </c>
    </row>
    <row r="10" spans="1:3" x14ac:dyDescent="0.25">
      <c r="B10" s="14" t="s">
        <v>55</v>
      </c>
      <c r="C10" s="15">
        <f>PnL_ExE!$O$42</f>
        <v>17785.446513218718</v>
      </c>
    </row>
    <row r="11" spans="1:3" x14ac:dyDescent="0.25">
      <c r="B11" s="14" t="s">
        <v>56</v>
      </c>
      <c r="C11" s="16">
        <f>PnL_ExE!$O$43</f>
        <v>8.7156184043848964E-2</v>
      </c>
    </row>
    <row r="12" spans="1:3" x14ac:dyDescent="0.25">
      <c r="B12" s="14" t="s">
        <v>57</v>
      </c>
      <c r="C12" s="17">
        <f>PnL_ExE!$O$49</f>
        <v>109.57882888073863</v>
      </c>
    </row>
    <row r="13" spans="1:3" x14ac:dyDescent="0.25">
      <c r="B13" s="14" t="s">
        <v>58</v>
      </c>
      <c r="C13" s="17">
        <f>PnL_ExE!$O$50</f>
        <v>135.16216221407197</v>
      </c>
    </row>
    <row r="14" spans="1:3" x14ac:dyDescent="0.25">
      <c r="B14" s="14" t="s">
        <v>59</v>
      </c>
      <c r="C14" s="15">
        <f>PnL_ExE!$O$46</f>
        <v>4653400</v>
      </c>
    </row>
    <row r="15" spans="1:3" x14ac:dyDescent="0.25">
      <c r="B15" s="14" t="s">
        <v>60</v>
      </c>
      <c r="C15" s="15">
        <f>PnL_ExE!$O$47</f>
        <v>3210000</v>
      </c>
    </row>
    <row r="16" spans="1:3" x14ac:dyDescent="0.25">
      <c r="B16" s="14" t="s">
        <v>61</v>
      </c>
      <c r="C16" s="15">
        <f>UnitEcon!$O$23</f>
        <v>2996.2116737187594</v>
      </c>
    </row>
    <row r="17" spans="2:14" x14ac:dyDescent="0.25">
      <c r="B17" s="14" t="s">
        <v>62</v>
      </c>
      <c r="C17" s="15">
        <f>UnitEcon!$O$38</f>
        <v>3748.9106235650138</v>
      </c>
    </row>
    <row r="18" spans="2:14" x14ac:dyDescent="0.25">
      <c r="B18" s="14" t="s">
        <v>63</v>
      </c>
      <c r="C18" s="16">
        <f>UnitEcon!$O$24</f>
        <v>9.3631614803711238E-2</v>
      </c>
    </row>
    <row r="19" spans="2:14" x14ac:dyDescent="0.25">
      <c r="B19" s="14" t="s">
        <v>64</v>
      </c>
      <c r="C19" s="16">
        <f>UnitEcon!$O$39</f>
        <v>0.22052415432735373</v>
      </c>
    </row>
    <row r="20" spans="2:14" x14ac:dyDescent="0.25">
      <c r="B20" s="14" t="s">
        <v>65</v>
      </c>
      <c r="C20" s="15">
        <f>CostProgram_ExF!$M$16</f>
        <v>14409.520494196891</v>
      </c>
    </row>
    <row r="25" spans="2:14" x14ac:dyDescent="0.25">
      <c r="B25" s="18" t="s">
        <v>66</v>
      </c>
    </row>
    <row r="26" spans="2:14" x14ac:dyDescent="0.25">
      <c r="B26" s="19" t="s">
        <v>67</v>
      </c>
      <c r="C26" s="19" t="s">
        <v>68</v>
      </c>
      <c r="D26" s="19" t="s">
        <v>69</v>
      </c>
      <c r="E26" s="19" t="s">
        <v>70</v>
      </c>
      <c r="F26" s="19" t="s">
        <v>71</v>
      </c>
      <c r="G26" s="19" t="s">
        <v>72</v>
      </c>
      <c r="H26" s="19" t="s">
        <v>73</v>
      </c>
      <c r="I26" s="19" t="s">
        <v>74</v>
      </c>
      <c r="J26" s="19" t="s">
        <v>75</v>
      </c>
      <c r="K26" s="19" t="s">
        <v>76</v>
      </c>
      <c r="L26" s="19" t="s">
        <v>77</v>
      </c>
      <c r="M26" s="19" t="s">
        <v>78</v>
      </c>
      <c r="N26" s="19" t="s">
        <v>79</v>
      </c>
    </row>
    <row r="27" spans="2:14" x14ac:dyDescent="0.25">
      <c r="B27" s="19" t="s">
        <v>50</v>
      </c>
      <c r="C27" s="20">
        <f>PnL_ExE!C9</f>
        <v>13502.8</v>
      </c>
      <c r="D27" s="20">
        <f>PnL_ExE!D9</f>
        <v>14803.312</v>
      </c>
      <c r="E27" s="20">
        <f>PnL_ExE!E9</f>
        <v>11840.8</v>
      </c>
      <c r="F27" s="20">
        <f>PnL_ExE!F9</f>
        <v>12808</v>
      </c>
      <c r="G27" s="20">
        <f>PnL_ExE!G9</f>
        <v>13605.2</v>
      </c>
      <c r="H27" s="20">
        <f>PnL_ExE!H9</f>
        <v>15029.6</v>
      </c>
      <c r="I27" s="20">
        <f>PnL_ExE!I9</f>
        <v>16794</v>
      </c>
      <c r="J27" s="20">
        <f>PnL_ExE!J9</f>
        <v>17591.2</v>
      </c>
      <c r="K27" s="20">
        <f>PnL_ExE!K9</f>
        <v>21492.799999999999</v>
      </c>
      <c r="L27" s="20">
        <f>PnL_ExE!L9</f>
        <v>21316.400000000001</v>
      </c>
      <c r="M27" s="20">
        <f>PnL_ExE!M9</f>
        <v>23139.968000000001</v>
      </c>
      <c r="N27" s="20">
        <f>PnL_ExE!N9</f>
        <v>22140</v>
      </c>
    </row>
    <row r="28" spans="2:14" x14ac:dyDescent="0.25">
      <c r="B28" s="19" t="s">
        <v>53</v>
      </c>
      <c r="C28" s="20">
        <f>PnL_ExE!C35</f>
        <v>3226.1710930550917</v>
      </c>
      <c r="D28" s="20">
        <f>PnL_ExE!D35</f>
        <v>3187.1183515723769</v>
      </c>
      <c r="E28" s="20">
        <f>PnL_ExE!E35</f>
        <v>1101.7066055056025</v>
      </c>
      <c r="F28" s="20">
        <f>PnL_ExE!F35</f>
        <v>81.838128607501858</v>
      </c>
      <c r="G28" s="20">
        <f>PnL_ExE!G35</f>
        <v>830.85006588226679</v>
      </c>
      <c r="H28" s="20">
        <f>PnL_ExE!H35</f>
        <v>950.7560291591135</v>
      </c>
      <c r="I28" s="20">
        <f>PnL_ExE!I35</f>
        <v>1440.1245528853842</v>
      </c>
      <c r="J28" s="20">
        <f>PnL_ExE!J35</f>
        <v>2028.571852944895</v>
      </c>
      <c r="K28" s="20">
        <f>PnL_ExE!K35</f>
        <v>3332.9965800187447</v>
      </c>
      <c r="L28" s="20">
        <f>PnL_ExE!L35</f>
        <v>3139.4379751120814</v>
      </c>
      <c r="M28" s="20">
        <f>PnL_ExE!M35</f>
        <v>3435.2555562401758</v>
      </c>
      <c r="N28" s="20">
        <f>PnL_ExE!N35</f>
        <v>3807.027713143334</v>
      </c>
    </row>
    <row r="29" spans="2:14" x14ac:dyDescent="0.25">
      <c r="B29" s="19" t="s">
        <v>54</v>
      </c>
      <c r="C29" s="21">
        <f>PnL_ExE!C36</f>
        <v>0.23892608148347691</v>
      </c>
      <c r="D29" s="21">
        <f>PnL_ExE!D36</f>
        <v>0.21529765444195034</v>
      </c>
      <c r="E29" s="21">
        <f>PnL_ExE!E36</f>
        <v>9.3043257677319316E-2</v>
      </c>
      <c r="F29" s="21">
        <f>PnL_ExE!F36</f>
        <v>6.389610291029189E-3</v>
      </c>
      <c r="G29" s="21">
        <f>PnL_ExE!G36</f>
        <v>6.1068566862836765E-2</v>
      </c>
      <c r="H29" s="21">
        <f>PnL_ExE!H36</f>
        <v>6.3258904372645544E-2</v>
      </c>
      <c r="I29" s="21">
        <f>PnL_ExE!I36</f>
        <v>8.5752325407013469E-2</v>
      </c>
      <c r="J29" s="21">
        <f>PnL_ExE!J36</f>
        <v>0.11531742308341074</v>
      </c>
      <c r="K29" s="21">
        <f>PnL_ExE!K36</f>
        <v>0.1550750288477418</v>
      </c>
      <c r="L29" s="21">
        <f>PnL_ExE!L36</f>
        <v>0.14727805704115524</v>
      </c>
      <c r="M29" s="21">
        <f>PnL_ExE!M36</f>
        <v>0.14845550159102103</v>
      </c>
      <c r="N29" s="21">
        <f>PnL_ExE!N36</f>
        <v>0.17195247123501961</v>
      </c>
    </row>
    <row r="30" spans="2:14" x14ac:dyDescent="0.25">
      <c r="B30" s="19" t="s">
        <v>80</v>
      </c>
      <c r="C30" s="22">
        <f>PnL_ExE!C49</f>
        <v>85.6874606874607</v>
      </c>
      <c r="D30" s="22">
        <f>PnL_ExE!D49</f>
        <v>95.033824200490884</v>
      </c>
      <c r="E30" s="22">
        <f>PnL_ExE!E49</f>
        <v>91.232471232471255</v>
      </c>
      <c r="F30" s="22">
        <f>PnL_ExE!F49</f>
        <v>87.58317238317241</v>
      </c>
      <c r="G30" s="22">
        <f>PnL_ExE!G49</f>
        <v>86.36039886039886</v>
      </c>
      <c r="H30" s="22">
        <f>PnL_ExE!H49</f>
        <v>95.575913284246624</v>
      </c>
      <c r="I30" s="22">
        <f>PnL_ExE!I49</f>
        <v>106.73547131880467</v>
      </c>
      <c r="J30" s="22">
        <f>PnL_ExE!J49</f>
        <v>111.82923943340612</v>
      </c>
      <c r="K30" s="22">
        <f>PnL_ExE!K49</f>
        <v>130.02660919327587</v>
      </c>
      <c r="L30" s="22">
        <f>PnL_ExE!L49</f>
        <v>135.00354776396443</v>
      </c>
      <c r="M30" s="22">
        <f>PnL_ExE!M49</f>
        <v>147.8968562301896</v>
      </c>
      <c r="N30" s="22">
        <f>PnL_ExE!N49</f>
        <v>141.98098198098202</v>
      </c>
    </row>
    <row r="31" spans="2:14" x14ac:dyDescent="0.25">
      <c r="B31" s="19" t="s">
        <v>81</v>
      </c>
      <c r="C31" s="22">
        <f>PnL_ExE!C48</f>
        <v>85.6874606874607</v>
      </c>
      <c r="D31" s="22">
        <f>PnL_ExE!D48</f>
        <v>95.033824200490884</v>
      </c>
      <c r="E31" s="22">
        <f>PnL_ExE!E48</f>
        <v>75.200840825840842</v>
      </c>
      <c r="F31" s="22">
        <f>PnL_ExE!F48</f>
        <v>81.266630745797414</v>
      </c>
      <c r="G31" s="22">
        <f>PnL_ExE!G48</f>
        <v>86.36039886039886</v>
      </c>
      <c r="H31" s="22">
        <f>PnL_ExE!H48</f>
        <v>95.575913284246624</v>
      </c>
      <c r="I31" s="22">
        <f>PnL_ExE!I48</f>
        <v>106.73547131880467</v>
      </c>
      <c r="J31" s="22">
        <f>PnL_ExE!J48</f>
        <v>111.82923943340612</v>
      </c>
      <c r="K31" s="22">
        <f>PnL_ExE!K48</f>
        <v>130.02660919327587</v>
      </c>
      <c r="L31" s="22">
        <f>PnL_ExE!L48</f>
        <v>135.00354776396443</v>
      </c>
      <c r="M31" s="22">
        <f>PnL_ExE!M48</f>
        <v>147.8968562301896</v>
      </c>
      <c r="N31" s="22">
        <f>PnL_ExE!N48</f>
        <v>139.98048633465302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70"/>
  <sheetViews>
    <sheetView showGridLines="0" zoomScaleNormal="100" workbookViewId="0">
      <pane xSplit="2" ySplit="4" topLeftCell="C56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9" customWidth="1"/>
    <col min="2" max="2" width="46" customWidth="1"/>
    <col min="3" max="3" width="12" customWidth="1"/>
    <col min="4" max="4" width="24" customWidth="1"/>
    <col min="5" max="5" width="13" customWidth="1"/>
    <col min="6" max="6" width="110" customWidth="1"/>
  </cols>
  <sheetData>
    <row r="1" spans="1:6" ht="18" x14ac:dyDescent="0.25">
      <c r="A1" s="13" t="s">
        <v>82</v>
      </c>
    </row>
    <row r="2" spans="1:6" x14ac:dyDescent="0.25">
      <c r="A2" s="4" t="s">
        <v>83</v>
      </c>
    </row>
    <row r="4" spans="1:6" x14ac:dyDescent="0.25">
      <c r="A4" s="5" t="s">
        <v>84</v>
      </c>
      <c r="B4" s="5" t="s">
        <v>85</v>
      </c>
      <c r="C4" s="5" t="s">
        <v>49</v>
      </c>
      <c r="D4" s="5" t="s">
        <v>86</v>
      </c>
      <c r="E4" s="5" t="s">
        <v>87</v>
      </c>
      <c r="F4" s="5" t="s">
        <v>88</v>
      </c>
    </row>
    <row r="5" spans="1:6" x14ac:dyDescent="0.25">
      <c r="A5" s="23" t="s">
        <v>89</v>
      </c>
      <c r="B5" s="24"/>
      <c r="C5" s="24"/>
      <c r="D5" s="24"/>
      <c r="E5" s="24"/>
      <c r="F5" s="24"/>
    </row>
    <row r="6" spans="1:6" x14ac:dyDescent="0.25">
      <c r="A6" s="25" t="s">
        <v>90</v>
      </c>
      <c r="B6" s="14" t="s">
        <v>91</v>
      </c>
      <c r="C6" s="26">
        <v>75</v>
      </c>
      <c r="D6" s="27" t="s">
        <v>92</v>
      </c>
      <c r="E6" s="28" t="s">
        <v>93</v>
      </c>
      <c r="F6" s="29" t="s">
        <v>94</v>
      </c>
    </row>
    <row r="7" spans="1:6" x14ac:dyDescent="0.25">
      <c r="A7" s="25" t="s">
        <v>95</v>
      </c>
      <c r="B7" s="14" t="s">
        <v>96</v>
      </c>
      <c r="C7" s="26">
        <v>40</v>
      </c>
      <c r="D7" s="27" t="s">
        <v>92</v>
      </c>
      <c r="E7" s="28" t="s">
        <v>93</v>
      </c>
      <c r="F7" s="29" t="s">
        <v>97</v>
      </c>
    </row>
    <row r="8" spans="1:6" x14ac:dyDescent="0.25">
      <c r="A8" s="25" t="s">
        <v>98</v>
      </c>
      <c r="B8" s="14" t="s">
        <v>99</v>
      </c>
      <c r="C8" s="30">
        <v>0.8</v>
      </c>
      <c r="D8" s="27" t="s">
        <v>100</v>
      </c>
      <c r="E8" s="28" t="s">
        <v>93</v>
      </c>
      <c r="F8" s="29" t="s">
        <v>101</v>
      </c>
    </row>
    <row r="9" spans="1:6" x14ac:dyDescent="0.25">
      <c r="A9" s="25" t="s">
        <v>102</v>
      </c>
      <c r="B9" s="14" t="s">
        <v>103</v>
      </c>
      <c r="C9" s="26">
        <v>20</v>
      </c>
      <c r="D9" s="27" t="s">
        <v>92</v>
      </c>
      <c r="E9" s="28" t="s">
        <v>93</v>
      </c>
      <c r="F9" s="29" t="s">
        <v>104</v>
      </c>
    </row>
    <row r="10" spans="1:6" x14ac:dyDescent="0.25">
      <c r="A10" s="25" t="s">
        <v>105</v>
      </c>
      <c r="B10" s="14" t="s">
        <v>106</v>
      </c>
      <c r="C10" s="31">
        <v>0.78</v>
      </c>
      <c r="D10" s="27" t="s">
        <v>100</v>
      </c>
      <c r="E10" s="28" t="s">
        <v>93</v>
      </c>
      <c r="F10" s="29" t="s">
        <v>107</v>
      </c>
    </row>
    <row r="11" spans="1:6" x14ac:dyDescent="0.25">
      <c r="A11" s="25" t="s">
        <v>108</v>
      </c>
      <c r="B11" s="14" t="s">
        <v>109</v>
      </c>
      <c r="C11" s="31">
        <v>0.3</v>
      </c>
      <c r="D11" s="27" t="s">
        <v>100</v>
      </c>
      <c r="E11" s="28" t="s">
        <v>93</v>
      </c>
      <c r="F11" s="29" t="s">
        <v>110</v>
      </c>
    </row>
    <row r="12" spans="1:6" x14ac:dyDescent="0.25">
      <c r="A12" s="25" t="s">
        <v>111</v>
      </c>
      <c r="B12" s="14" t="s">
        <v>112</v>
      </c>
      <c r="C12" s="26">
        <v>176</v>
      </c>
      <c r="D12" s="27" t="s">
        <v>113</v>
      </c>
      <c r="E12" s="28" t="s">
        <v>93</v>
      </c>
      <c r="F12" s="29" t="s">
        <v>114</v>
      </c>
    </row>
    <row r="13" spans="1:6" x14ac:dyDescent="0.25">
      <c r="A13" s="25" t="s">
        <v>115</v>
      </c>
      <c r="B13" s="14" t="s">
        <v>116</v>
      </c>
      <c r="C13" s="26">
        <v>15</v>
      </c>
      <c r="D13" s="27" t="s">
        <v>117</v>
      </c>
      <c r="E13" s="28" t="s">
        <v>93</v>
      </c>
      <c r="F13" s="29"/>
    </row>
    <row r="14" spans="1:6" x14ac:dyDescent="0.25">
      <c r="A14" s="25" t="s">
        <v>118</v>
      </c>
      <c r="B14" s="14" t="s">
        <v>119</v>
      </c>
      <c r="C14" s="26">
        <v>6</v>
      </c>
      <c r="D14" s="27" t="s">
        <v>120</v>
      </c>
      <c r="E14" s="28" t="s">
        <v>93</v>
      </c>
      <c r="F14" s="29"/>
    </row>
    <row r="15" spans="1:6" x14ac:dyDescent="0.25">
      <c r="A15" s="25" t="s">
        <v>121</v>
      </c>
      <c r="B15" s="14" t="s">
        <v>122</v>
      </c>
      <c r="C15" s="26">
        <v>40</v>
      </c>
      <c r="D15" s="27" t="s">
        <v>123</v>
      </c>
      <c r="E15" s="28" t="s">
        <v>93</v>
      </c>
      <c r="F15" s="29" t="s">
        <v>124</v>
      </c>
    </row>
    <row r="16" spans="1:6" x14ac:dyDescent="0.25">
      <c r="A16" s="25" t="s">
        <v>125</v>
      </c>
      <c r="B16" s="14" t="s">
        <v>126</v>
      </c>
      <c r="C16" s="26">
        <v>1</v>
      </c>
      <c r="D16" s="27" t="s">
        <v>127</v>
      </c>
      <c r="E16" s="28" t="s">
        <v>93</v>
      </c>
      <c r="F16" s="29" t="s">
        <v>128</v>
      </c>
    </row>
    <row r="17" spans="1:6" x14ac:dyDescent="0.25">
      <c r="A17" s="25" t="s">
        <v>129</v>
      </c>
      <c r="B17" s="14" t="s">
        <v>130</v>
      </c>
      <c r="C17" s="26">
        <v>1</v>
      </c>
      <c r="D17" s="27" t="s">
        <v>127</v>
      </c>
      <c r="E17" s="28" t="s">
        <v>93</v>
      </c>
      <c r="F17" s="29" t="s">
        <v>128</v>
      </c>
    </row>
    <row r="18" spans="1:6" x14ac:dyDescent="0.25">
      <c r="A18" s="25" t="s">
        <v>131</v>
      </c>
      <c r="B18" s="14" t="s">
        <v>132</v>
      </c>
      <c r="C18" s="30">
        <v>0.22</v>
      </c>
      <c r="D18" s="27" t="s">
        <v>100</v>
      </c>
      <c r="E18" s="28" t="s">
        <v>93</v>
      </c>
      <c r="F18" s="29" t="s">
        <v>133</v>
      </c>
    </row>
    <row r="19" spans="1:6" x14ac:dyDescent="0.25">
      <c r="A19" s="23" t="s">
        <v>134</v>
      </c>
      <c r="B19" s="24"/>
      <c r="C19" s="24"/>
      <c r="D19" s="24"/>
      <c r="E19" s="24"/>
      <c r="F19" s="24"/>
    </row>
    <row r="20" spans="1:6" x14ac:dyDescent="0.25">
      <c r="A20" s="25" t="s">
        <v>135</v>
      </c>
      <c r="B20" s="14" t="s">
        <v>136</v>
      </c>
      <c r="C20" s="31">
        <v>0.9</v>
      </c>
      <c r="D20" s="27" t="s">
        <v>100</v>
      </c>
      <c r="E20" s="32" t="s">
        <v>137</v>
      </c>
      <c r="F20" s="29" t="s">
        <v>138</v>
      </c>
    </row>
    <row r="21" spans="1:6" x14ac:dyDescent="0.25">
      <c r="A21" s="25" t="s">
        <v>139</v>
      </c>
      <c r="B21" s="14" t="s">
        <v>140</v>
      </c>
      <c r="C21" s="30">
        <v>0.03</v>
      </c>
      <c r="D21" s="27" t="s">
        <v>100</v>
      </c>
      <c r="E21" s="28" t="s">
        <v>141</v>
      </c>
      <c r="F21" s="29" t="s">
        <v>142</v>
      </c>
    </row>
    <row r="22" spans="1:6" x14ac:dyDescent="0.25">
      <c r="A22" s="25" t="s">
        <v>143</v>
      </c>
      <c r="B22" s="14" t="s">
        <v>144</v>
      </c>
      <c r="C22" s="31">
        <v>0.04</v>
      </c>
      <c r="D22" s="27" t="s">
        <v>145</v>
      </c>
      <c r="E22" s="32" t="s">
        <v>137</v>
      </c>
      <c r="F22" s="29" t="s">
        <v>146</v>
      </c>
    </row>
    <row r="23" spans="1:6" x14ac:dyDescent="0.25">
      <c r="A23" s="25" t="s">
        <v>147</v>
      </c>
      <c r="B23" s="14" t="s">
        <v>148</v>
      </c>
      <c r="C23" s="33">
        <v>0.5</v>
      </c>
      <c r="D23" s="27" t="s">
        <v>149</v>
      </c>
      <c r="E23" s="32" t="s">
        <v>137</v>
      </c>
      <c r="F23" s="29" t="s">
        <v>150</v>
      </c>
    </row>
    <row r="24" spans="1:6" x14ac:dyDescent="0.25">
      <c r="A24" s="25" t="s">
        <v>151</v>
      </c>
      <c r="B24" s="14" t="s">
        <v>152</v>
      </c>
      <c r="C24" s="26">
        <v>75</v>
      </c>
      <c r="D24" s="27" t="s">
        <v>153</v>
      </c>
      <c r="E24" s="32" t="s">
        <v>137</v>
      </c>
      <c r="F24" s="29" t="s">
        <v>154</v>
      </c>
    </row>
    <row r="25" spans="1:6" x14ac:dyDescent="0.25">
      <c r="A25" s="25" t="s">
        <v>155</v>
      </c>
      <c r="B25" s="14" t="s">
        <v>156</v>
      </c>
      <c r="C25" s="26">
        <v>60</v>
      </c>
      <c r="D25" s="27" t="s">
        <v>157</v>
      </c>
      <c r="E25" s="32" t="s">
        <v>137</v>
      </c>
      <c r="F25" s="29" t="s">
        <v>158</v>
      </c>
    </row>
    <row r="26" spans="1:6" x14ac:dyDescent="0.25">
      <c r="A26" s="25" t="s">
        <v>159</v>
      </c>
      <c r="B26" s="14" t="s">
        <v>160</v>
      </c>
      <c r="C26" s="26">
        <v>75</v>
      </c>
      <c r="D26" s="27" t="s">
        <v>161</v>
      </c>
      <c r="E26" s="32" t="s">
        <v>137</v>
      </c>
      <c r="F26" s="29" t="s">
        <v>162</v>
      </c>
    </row>
    <row r="27" spans="1:6" x14ac:dyDescent="0.25">
      <c r="A27" s="25" t="s">
        <v>163</v>
      </c>
      <c r="B27" s="14" t="s">
        <v>164</v>
      </c>
      <c r="C27" s="26">
        <v>75</v>
      </c>
      <c r="D27" s="27" t="s">
        <v>165</v>
      </c>
      <c r="E27" s="32" t="s">
        <v>137</v>
      </c>
      <c r="F27" s="29" t="s">
        <v>166</v>
      </c>
    </row>
    <row r="28" spans="1:6" x14ac:dyDescent="0.25">
      <c r="A28" s="25" t="s">
        <v>167</v>
      </c>
      <c r="B28" s="14" t="s">
        <v>168</v>
      </c>
      <c r="C28" s="26">
        <v>2</v>
      </c>
      <c r="D28" s="27" t="s">
        <v>127</v>
      </c>
      <c r="E28" s="32" t="s">
        <v>137</v>
      </c>
      <c r="F28" s="29" t="s">
        <v>169</v>
      </c>
    </row>
    <row r="29" spans="1:6" x14ac:dyDescent="0.25">
      <c r="A29" s="25" t="s">
        <v>170</v>
      </c>
      <c r="B29" s="14" t="s">
        <v>171</v>
      </c>
      <c r="C29" s="33">
        <v>1.5</v>
      </c>
      <c r="D29" s="27" t="s">
        <v>172</v>
      </c>
      <c r="E29" s="32" t="s">
        <v>137</v>
      </c>
      <c r="F29" s="29" t="s">
        <v>173</v>
      </c>
    </row>
    <row r="30" spans="1:6" x14ac:dyDescent="0.25">
      <c r="A30" s="25" t="s">
        <v>174</v>
      </c>
      <c r="B30" s="14" t="s">
        <v>175</v>
      </c>
      <c r="C30" s="30">
        <v>0.1</v>
      </c>
      <c r="D30" s="27" t="s">
        <v>100</v>
      </c>
      <c r="E30" s="32" t="s">
        <v>137</v>
      </c>
      <c r="F30" s="29" t="s">
        <v>176</v>
      </c>
    </row>
    <row r="31" spans="1:6" x14ac:dyDescent="0.25">
      <c r="A31" s="25" t="s">
        <v>177</v>
      </c>
      <c r="B31" s="14" t="s">
        <v>178</v>
      </c>
      <c r="C31" s="26">
        <v>16</v>
      </c>
      <c r="D31" s="27" t="s">
        <v>113</v>
      </c>
      <c r="E31" s="32" t="s">
        <v>137</v>
      </c>
      <c r="F31" s="29" t="s">
        <v>179</v>
      </c>
    </row>
    <row r="32" spans="1:6" x14ac:dyDescent="0.25">
      <c r="A32" s="25" t="s">
        <v>180</v>
      </c>
      <c r="B32" s="14" t="s">
        <v>181</v>
      </c>
      <c r="C32" s="30">
        <v>0.05</v>
      </c>
      <c r="D32" s="27" t="s">
        <v>100</v>
      </c>
      <c r="E32" s="32" t="s">
        <v>137</v>
      </c>
      <c r="F32" s="29" t="s">
        <v>182</v>
      </c>
    </row>
    <row r="33" spans="1:6" x14ac:dyDescent="0.25">
      <c r="A33" s="23" t="s">
        <v>183</v>
      </c>
      <c r="B33" s="24"/>
      <c r="C33" s="24"/>
      <c r="D33" s="24"/>
      <c r="E33" s="24"/>
      <c r="F33" s="24"/>
    </row>
    <row r="34" spans="1:6" x14ac:dyDescent="0.25">
      <c r="A34" s="25" t="s">
        <v>184</v>
      </c>
      <c r="B34" s="14" t="s">
        <v>185</v>
      </c>
      <c r="C34" s="33">
        <v>50</v>
      </c>
      <c r="D34" s="27" t="s">
        <v>186</v>
      </c>
      <c r="E34" s="28" t="s">
        <v>93</v>
      </c>
      <c r="F34" s="29" t="s">
        <v>187</v>
      </c>
    </row>
    <row r="35" spans="1:6" x14ac:dyDescent="0.25">
      <c r="A35" s="25" t="s">
        <v>188</v>
      </c>
      <c r="B35" s="14" t="s">
        <v>189</v>
      </c>
      <c r="C35" s="33">
        <v>100</v>
      </c>
      <c r="D35" s="27" t="s">
        <v>186</v>
      </c>
      <c r="E35" s="28" t="s">
        <v>93</v>
      </c>
      <c r="F35" s="29"/>
    </row>
    <row r="36" spans="1:6" x14ac:dyDescent="0.25">
      <c r="A36" s="25" t="s">
        <v>190</v>
      </c>
      <c r="B36" s="14" t="s">
        <v>191</v>
      </c>
      <c r="C36" s="33">
        <v>40</v>
      </c>
      <c r="D36" s="27" t="s">
        <v>186</v>
      </c>
      <c r="E36" s="28" t="s">
        <v>93</v>
      </c>
      <c r="F36" s="29"/>
    </row>
    <row r="37" spans="1:6" x14ac:dyDescent="0.25">
      <c r="A37" s="25" t="s">
        <v>192</v>
      </c>
      <c r="B37" s="14" t="s">
        <v>193</v>
      </c>
      <c r="C37" s="33">
        <v>150</v>
      </c>
      <c r="D37" s="27" t="s">
        <v>186</v>
      </c>
      <c r="E37" s="28" t="s">
        <v>93</v>
      </c>
      <c r="F37" s="29"/>
    </row>
    <row r="38" spans="1:6" x14ac:dyDescent="0.25">
      <c r="A38" s="25" t="s">
        <v>194</v>
      </c>
      <c r="B38" s="14" t="s">
        <v>126</v>
      </c>
      <c r="C38" s="33">
        <v>200</v>
      </c>
      <c r="D38" s="27" t="s">
        <v>186</v>
      </c>
      <c r="E38" s="28" t="s">
        <v>93</v>
      </c>
      <c r="F38" s="29"/>
    </row>
    <row r="39" spans="1:6" x14ac:dyDescent="0.25">
      <c r="A39" s="25" t="s">
        <v>195</v>
      </c>
      <c r="B39" s="14" t="s">
        <v>130</v>
      </c>
      <c r="C39" s="33">
        <v>150</v>
      </c>
      <c r="D39" s="27" t="s">
        <v>186</v>
      </c>
      <c r="E39" s="28" t="s">
        <v>93</v>
      </c>
      <c r="F39" s="29"/>
    </row>
    <row r="40" spans="1:6" x14ac:dyDescent="0.25">
      <c r="A40" s="25" t="s">
        <v>196</v>
      </c>
      <c r="B40" s="14" t="s">
        <v>197</v>
      </c>
      <c r="C40" s="30">
        <v>0.22</v>
      </c>
      <c r="D40" s="27" t="s">
        <v>198</v>
      </c>
      <c r="E40" s="28" t="s">
        <v>93</v>
      </c>
      <c r="F40" s="29" t="s">
        <v>199</v>
      </c>
    </row>
    <row r="41" spans="1:6" x14ac:dyDescent="0.25">
      <c r="A41" s="25" t="s">
        <v>200</v>
      </c>
      <c r="B41" s="14" t="s">
        <v>201</v>
      </c>
      <c r="C41" s="31">
        <v>0.25</v>
      </c>
      <c r="D41" s="27" t="s">
        <v>100</v>
      </c>
      <c r="E41" s="28" t="s">
        <v>93</v>
      </c>
      <c r="F41" s="29" t="s">
        <v>202</v>
      </c>
    </row>
    <row r="42" spans="1:6" x14ac:dyDescent="0.25">
      <c r="A42" s="25" t="s">
        <v>203</v>
      </c>
      <c r="B42" s="14" t="s">
        <v>204</v>
      </c>
      <c r="C42" s="26">
        <v>4</v>
      </c>
      <c r="D42" s="27" t="s">
        <v>205</v>
      </c>
      <c r="E42" s="28" t="s">
        <v>93</v>
      </c>
      <c r="F42" s="29"/>
    </row>
    <row r="43" spans="1:6" x14ac:dyDescent="0.25">
      <c r="A43" s="25" t="s">
        <v>206</v>
      </c>
      <c r="B43" s="14" t="s">
        <v>207</v>
      </c>
      <c r="C43" s="34">
        <v>0.5</v>
      </c>
      <c r="D43" s="27" t="s">
        <v>208</v>
      </c>
      <c r="E43" s="28" t="s">
        <v>93</v>
      </c>
      <c r="F43" s="29" t="s">
        <v>209</v>
      </c>
    </row>
    <row r="44" spans="1:6" x14ac:dyDescent="0.25">
      <c r="A44" s="23" t="s">
        <v>210</v>
      </c>
      <c r="B44" s="24"/>
      <c r="C44" s="24"/>
      <c r="D44" s="24"/>
      <c r="E44" s="24"/>
      <c r="F44" s="24"/>
    </row>
    <row r="45" spans="1:6" x14ac:dyDescent="0.25">
      <c r="A45" s="25" t="s">
        <v>211</v>
      </c>
      <c r="B45" s="14" t="s">
        <v>212</v>
      </c>
      <c r="C45" s="33">
        <v>70</v>
      </c>
      <c r="D45" s="27" t="s">
        <v>186</v>
      </c>
      <c r="E45" s="32" t="s">
        <v>137</v>
      </c>
      <c r="F45" s="29" t="s">
        <v>213</v>
      </c>
    </row>
    <row r="46" spans="1:6" x14ac:dyDescent="0.25">
      <c r="A46" s="25" t="s">
        <v>214</v>
      </c>
      <c r="B46" s="14" t="s">
        <v>215</v>
      </c>
      <c r="C46" s="33">
        <v>60</v>
      </c>
      <c r="D46" s="27" t="s">
        <v>186</v>
      </c>
      <c r="E46" s="32" t="s">
        <v>137</v>
      </c>
      <c r="F46" s="29" t="s">
        <v>216</v>
      </c>
    </row>
    <row r="47" spans="1:6" x14ac:dyDescent="0.25">
      <c r="A47" s="25" t="s">
        <v>217</v>
      </c>
      <c r="B47" s="14" t="s">
        <v>218</v>
      </c>
      <c r="C47" s="33">
        <v>80</v>
      </c>
      <c r="D47" s="27" t="s">
        <v>186</v>
      </c>
      <c r="E47" s="32" t="s">
        <v>137</v>
      </c>
      <c r="F47" s="29" t="s">
        <v>219</v>
      </c>
    </row>
    <row r="48" spans="1:6" x14ac:dyDescent="0.25">
      <c r="A48" s="25" t="s">
        <v>220</v>
      </c>
      <c r="B48" s="14" t="s">
        <v>221</v>
      </c>
      <c r="C48" s="33">
        <v>45</v>
      </c>
      <c r="D48" s="27" t="s">
        <v>186</v>
      </c>
      <c r="E48" s="32" t="s">
        <v>137</v>
      </c>
      <c r="F48" s="29"/>
    </row>
    <row r="49" spans="1:6" x14ac:dyDescent="0.25">
      <c r="A49" s="25" t="s">
        <v>222</v>
      </c>
      <c r="B49" s="14" t="s">
        <v>223</v>
      </c>
      <c r="C49" s="33">
        <v>120</v>
      </c>
      <c r="D49" s="27" t="s">
        <v>186</v>
      </c>
      <c r="E49" s="32" t="s">
        <v>137</v>
      </c>
      <c r="F49" s="29" t="s">
        <v>224</v>
      </c>
    </row>
    <row r="50" spans="1:6" x14ac:dyDescent="0.25">
      <c r="A50" s="25" t="s">
        <v>225</v>
      </c>
      <c r="B50" s="14" t="s">
        <v>226</v>
      </c>
      <c r="C50" s="33">
        <v>6</v>
      </c>
      <c r="D50" s="27" t="s">
        <v>227</v>
      </c>
      <c r="E50" s="32" t="s">
        <v>137</v>
      </c>
      <c r="F50" s="29" t="s">
        <v>228</v>
      </c>
    </row>
    <row r="51" spans="1:6" x14ac:dyDescent="0.25">
      <c r="A51" s="25" t="s">
        <v>229</v>
      </c>
      <c r="B51" s="14" t="s">
        <v>230</v>
      </c>
      <c r="C51" s="34">
        <v>2.5</v>
      </c>
      <c r="D51" s="27" t="s">
        <v>231</v>
      </c>
      <c r="E51" s="32" t="s">
        <v>137</v>
      </c>
      <c r="F51" s="29" t="s">
        <v>232</v>
      </c>
    </row>
    <row r="52" spans="1:6" x14ac:dyDescent="0.25">
      <c r="A52" s="25" t="s">
        <v>233</v>
      </c>
      <c r="B52" s="14" t="s">
        <v>234</v>
      </c>
      <c r="C52" s="26">
        <v>150</v>
      </c>
      <c r="D52" s="27" t="s">
        <v>186</v>
      </c>
      <c r="E52" s="32" t="s">
        <v>137</v>
      </c>
      <c r="F52" s="29" t="s">
        <v>235</v>
      </c>
    </row>
    <row r="53" spans="1:6" x14ac:dyDescent="0.25">
      <c r="A53" s="25" t="s">
        <v>236</v>
      </c>
      <c r="B53" s="14" t="s">
        <v>237</v>
      </c>
      <c r="C53" s="26">
        <v>400</v>
      </c>
      <c r="D53" s="27" t="s">
        <v>238</v>
      </c>
      <c r="E53" s="32" t="s">
        <v>137</v>
      </c>
      <c r="F53" s="29" t="s">
        <v>239</v>
      </c>
    </row>
    <row r="54" spans="1:6" x14ac:dyDescent="0.25">
      <c r="A54" s="25" t="s">
        <v>240</v>
      </c>
      <c r="B54" s="14" t="s">
        <v>241</v>
      </c>
      <c r="C54" s="26">
        <v>50</v>
      </c>
      <c r="D54" s="27" t="s">
        <v>186</v>
      </c>
      <c r="E54" s="32" t="s">
        <v>137</v>
      </c>
      <c r="F54" s="29"/>
    </row>
    <row r="55" spans="1:6" x14ac:dyDescent="0.25">
      <c r="A55" s="25" t="s">
        <v>242</v>
      </c>
      <c r="B55" s="14" t="s">
        <v>243</v>
      </c>
      <c r="C55" s="26">
        <v>100</v>
      </c>
      <c r="D55" s="27" t="s">
        <v>244</v>
      </c>
      <c r="E55" s="32" t="s">
        <v>137</v>
      </c>
      <c r="F55" s="29" t="s">
        <v>245</v>
      </c>
    </row>
    <row r="56" spans="1:6" x14ac:dyDescent="0.25">
      <c r="A56" s="25" t="s">
        <v>246</v>
      </c>
      <c r="B56" s="14" t="s">
        <v>247</v>
      </c>
      <c r="C56" s="33">
        <v>8</v>
      </c>
      <c r="D56" s="27" t="s">
        <v>248</v>
      </c>
      <c r="E56" s="32" t="s">
        <v>137</v>
      </c>
      <c r="F56" s="29" t="s">
        <v>249</v>
      </c>
    </row>
    <row r="57" spans="1:6" x14ac:dyDescent="0.25">
      <c r="A57" s="25" t="s">
        <v>250</v>
      </c>
      <c r="B57" s="14" t="s">
        <v>251</v>
      </c>
      <c r="C57" s="33">
        <v>2</v>
      </c>
      <c r="D57" s="27" t="s">
        <v>248</v>
      </c>
      <c r="E57" s="32" t="s">
        <v>137</v>
      </c>
      <c r="F57" s="29" t="s">
        <v>252</v>
      </c>
    </row>
    <row r="58" spans="1:6" x14ac:dyDescent="0.25">
      <c r="A58" s="25" t="s">
        <v>253</v>
      </c>
      <c r="B58" s="14" t="s">
        <v>254</v>
      </c>
      <c r="C58" s="30">
        <v>0.15</v>
      </c>
      <c r="D58" s="27" t="s">
        <v>100</v>
      </c>
      <c r="E58" s="32" t="s">
        <v>137</v>
      </c>
      <c r="F58" s="29" t="s">
        <v>255</v>
      </c>
    </row>
    <row r="59" spans="1:6" x14ac:dyDescent="0.25">
      <c r="A59" s="25" t="s">
        <v>256</v>
      </c>
      <c r="B59" s="14" t="s">
        <v>257</v>
      </c>
      <c r="C59" s="26">
        <v>80</v>
      </c>
      <c r="D59" s="27" t="s">
        <v>258</v>
      </c>
      <c r="E59" s="32" t="s">
        <v>137</v>
      </c>
      <c r="F59" s="29" t="s">
        <v>259</v>
      </c>
    </row>
    <row r="60" spans="1:6" x14ac:dyDescent="0.25">
      <c r="A60" s="25" t="s">
        <v>260</v>
      </c>
      <c r="B60" s="14" t="s">
        <v>261</v>
      </c>
      <c r="C60" s="26">
        <v>36</v>
      </c>
      <c r="D60" s="27" t="s">
        <v>262</v>
      </c>
      <c r="E60" s="32" t="s">
        <v>137</v>
      </c>
      <c r="F60" s="29"/>
    </row>
    <row r="61" spans="1:6" x14ac:dyDescent="0.25">
      <c r="A61" s="25" t="s">
        <v>263</v>
      </c>
      <c r="B61" s="14" t="s">
        <v>264</v>
      </c>
      <c r="C61" s="30">
        <v>0.03</v>
      </c>
      <c r="D61" s="27" t="s">
        <v>265</v>
      </c>
      <c r="E61" s="32" t="s">
        <v>137</v>
      </c>
      <c r="F61" s="29" t="s">
        <v>266</v>
      </c>
    </row>
    <row r="62" spans="1:6" x14ac:dyDescent="0.25">
      <c r="A62" s="25" t="s">
        <v>267</v>
      </c>
      <c r="B62" s="14" t="s">
        <v>268</v>
      </c>
      <c r="C62" s="33">
        <v>1</v>
      </c>
      <c r="D62" s="27" t="s">
        <v>269</v>
      </c>
      <c r="E62" s="32" t="s">
        <v>137</v>
      </c>
      <c r="F62" s="29" t="s">
        <v>270</v>
      </c>
    </row>
    <row r="63" spans="1:6" x14ac:dyDescent="0.25">
      <c r="A63" s="25" t="s">
        <v>271</v>
      </c>
      <c r="B63" s="14" t="s">
        <v>272</v>
      </c>
      <c r="C63" s="26">
        <v>0</v>
      </c>
      <c r="D63" s="27" t="s">
        <v>186</v>
      </c>
      <c r="E63" s="32" t="s">
        <v>137</v>
      </c>
      <c r="F63" s="29" t="s">
        <v>273</v>
      </c>
    </row>
    <row r="64" spans="1:6" x14ac:dyDescent="0.25">
      <c r="A64" s="23" t="s">
        <v>274</v>
      </c>
      <c r="B64" s="24"/>
      <c r="C64" s="24"/>
      <c r="D64" s="24"/>
      <c r="E64" s="24"/>
      <c r="F64" s="24"/>
    </row>
    <row r="65" spans="1:6" x14ac:dyDescent="0.25">
      <c r="A65" s="25" t="s">
        <v>275</v>
      </c>
      <c r="B65" s="14" t="s">
        <v>276</v>
      </c>
      <c r="C65" s="35">
        <v>32000</v>
      </c>
      <c r="D65" s="27" t="s">
        <v>238</v>
      </c>
      <c r="E65" s="32" t="s">
        <v>137</v>
      </c>
      <c r="F65" s="29" t="s">
        <v>277</v>
      </c>
    </row>
    <row r="66" spans="1:6" x14ac:dyDescent="0.25">
      <c r="A66" s="25" t="s">
        <v>278</v>
      </c>
      <c r="B66" s="14" t="s">
        <v>279</v>
      </c>
      <c r="C66" s="35">
        <v>17000</v>
      </c>
      <c r="D66" s="27" t="s">
        <v>244</v>
      </c>
      <c r="E66" s="32" t="s">
        <v>137</v>
      </c>
      <c r="F66" s="29" t="s">
        <v>280</v>
      </c>
    </row>
    <row r="67" spans="1:6" x14ac:dyDescent="0.25">
      <c r="A67" s="25" t="s">
        <v>281</v>
      </c>
      <c r="B67" s="14" t="s">
        <v>282</v>
      </c>
      <c r="C67" s="30">
        <v>0.03</v>
      </c>
      <c r="D67" s="27" t="s">
        <v>100</v>
      </c>
      <c r="E67" s="32" t="s">
        <v>137</v>
      </c>
      <c r="F67" s="29" t="s">
        <v>283</v>
      </c>
    </row>
    <row r="68" spans="1:6" x14ac:dyDescent="0.25">
      <c r="A68" s="25" t="s">
        <v>284</v>
      </c>
      <c r="B68" s="14" t="s">
        <v>285</v>
      </c>
      <c r="C68" s="30">
        <v>1.4999999999999999E-2</v>
      </c>
      <c r="D68" s="27" t="s">
        <v>286</v>
      </c>
      <c r="E68" s="32" t="s">
        <v>137</v>
      </c>
      <c r="F68" s="29" t="s">
        <v>287</v>
      </c>
    </row>
    <row r="69" spans="1:6" x14ac:dyDescent="0.25">
      <c r="A69" s="23" t="s">
        <v>288</v>
      </c>
      <c r="B69" s="24"/>
      <c r="C69" s="24"/>
      <c r="D69" s="24"/>
      <c r="E69" s="24"/>
      <c r="F69" s="24"/>
    </row>
    <row r="70" spans="1:6" x14ac:dyDescent="0.25">
      <c r="A70" s="25" t="s">
        <v>289</v>
      </c>
      <c r="B70" s="14" t="s">
        <v>290</v>
      </c>
      <c r="C70" s="36">
        <v>1</v>
      </c>
      <c r="D70" s="27" t="s">
        <v>291</v>
      </c>
      <c r="E70" s="37" t="s">
        <v>292</v>
      </c>
      <c r="F70" s="29" t="s">
        <v>293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P31"/>
  <sheetViews>
    <sheetView showGridLines="0" zoomScaleNormal="100" workbookViewId="0">
      <pane xSplit="2" ySplit="4" topLeftCell="C17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52" customWidth="1"/>
    <col min="2" max="2" width="14" customWidth="1"/>
    <col min="3" max="14" width="11" customWidth="1"/>
    <col min="15" max="15" width="13" customWidth="1"/>
    <col min="16" max="16" width="60" customWidth="1"/>
  </cols>
  <sheetData>
    <row r="1" spans="1:16" ht="18" x14ac:dyDescent="0.25">
      <c r="A1" s="13" t="s">
        <v>294</v>
      </c>
    </row>
    <row r="2" spans="1:16" x14ac:dyDescent="0.25">
      <c r="A2" s="4" t="s">
        <v>295</v>
      </c>
    </row>
    <row r="4" spans="1:16" x14ac:dyDescent="0.25">
      <c r="A4" s="38" t="s">
        <v>296</v>
      </c>
      <c r="B4" s="38" t="s">
        <v>86</v>
      </c>
      <c r="C4" s="39" t="s">
        <v>68</v>
      </c>
      <c r="D4" s="39" t="s">
        <v>69</v>
      </c>
      <c r="E4" s="39" t="s">
        <v>70</v>
      </c>
      <c r="F4" s="39" t="s">
        <v>71</v>
      </c>
      <c r="G4" s="39" t="s">
        <v>72</v>
      </c>
      <c r="H4" s="39" t="s">
        <v>73</v>
      </c>
      <c r="I4" s="39" t="s">
        <v>74</v>
      </c>
      <c r="J4" s="39" t="s">
        <v>75</v>
      </c>
      <c r="K4" s="39" t="s">
        <v>76</v>
      </c>
      <c r="L4" s="39" t="s">
        <v>77</v>
      </c>
      <c r="M4" s="39" t="s">
        <v>78</v>
      </c>
      <c r="N4" s="39" t="s">
        <v>79</v>
      </c>
      <c r="O4" s="39" t="s">
        <v>297</v>
      </c>
      <c r="P4" s="39" t="s">
        <v>298</v>
      </c>
    </row>
    <row r="5" spans="1:16" x14ac:dyDescent="0.25">
      <c r="A5" s="40" t="s">
        <v>299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x14ac:dyDescent="0.25">
      <c r="A6" s="8" t="s">
        <v>300</v>
      </c>
      <c r="B6" s="4" t="s">
        <v>301</v>
      </c>
      <c r="C6" s="26">
        <v>1</v>
      </c>
      <c r="D6" s="26">
        <v>2</v>
      </c>
      <c r="E6" s="26">
        <v>3</v>
      </c>
      <c r="F6" s="26">
        <v>4</v>
      </c>
      <c r="G6" s="26">
        <v>5</v>
      </c>
      <c r="H6" s="26">
        <v>6</v>
      </c>
      <c r="I6" s="26">
        <v>7</v>
      </c>
      <c r="J6" s="26">
        <v>8</v>
      </c>
      <c r="K6" s="26">
        <v>9</v>
      </c>
      <c r="L6" s="26">
        <v>10</v>
      </c>
      <c r="M6" s="26">
        <v>11</v>
      </c>
      <c r="N6" s="26">
        <v>12</v>
      </c>
      <c r="O6" s="41"/>
    </row>
    <row r="7" spans="1:16" x14ac:dyDescent="0.25">
      <c r="A7" s="8" t="s">
        <v>302</v>
      </c>
      <c r="B7" s="4" t="s">
        <v>303</v>
      </c>
      <c r="C7" s="26">
        <v>31</v>
      </c>
      <c r="D7" s="26">
        <v>28</v>
      </c>
      <c r="E7" s="26">
        <v>31</v>
      </c>
      <c r="F7" s="26">
        <v>30</v>
      </c>
      <c r="G7" s="26">
        <v>31</v>
      </c>
      <c r="H7" s="26">
        <v>30</v>
      </c>
      <c r="I7" s="26">
        <v>31</v>
      </c>
      <c r="J7" s="26">
        <v>31</v>
      </c>
      <c r="K7" s="26">
        <v>30</v>
      </c>
      <c r="L7" s="26">
        <v>31</v>
      </c>
      <c r="M7" s="26">
        <v>30</v>
      </c>
      <c r="N7" s="26">
        <v>31</v>
      </c>
      <c r="O7" s="42">
        <f>SUM(C7:N7)</f>
        <v>365</v>
      </c>
    </row>
    <row r="8" spans="1:16" x14ac:dyDescent="0.25">
      <c r="A8" s="8" t="s">
        <v>304</v>
      </c>
      <c r="B8" s="4" t="s">
        <v>305</v>
      </c>
      <c r="C8" s="43">
        <f>IF(C6&gt;=Assumptions!$C$42,1+Assumptions!$C$41,1)</f>
        <v>1</v>
      </c>
      <c r="D8" s="43">
        <f>IF(D6&gt;=Assumptions!$C$42,1+Assumptions!$C$41,1)</f>
        <v>1</v>
      </c>
      <c r="E8" s="43">
        <f>IF(E6&gt;=Assumptions!$C$42,1+Assumptions!$C$41,1)</f>
        <v>1</v>
      </c>
      <c r="F8" s="43">
        <f>IF(F6&gt;=Assumptions!$C$42,1+Assumptions!$C$41,1)</f>
        <v>1.25</v>
      </c>
      <c r="G8" s="43">
        <f>IF(G6&gt;=Assumptions!$C$42,1+Assumptions!$C$41,1)</f>
        <v>1.25</v>
      </c>
      <c r="H8" s="43">
        <f>IF(H6&gt;=Assumptions!$C$42,1+Assumptions!$C$41,1)</f>
        <v>1.25</v>
      </c>
      <c r="I8" s="43">
        <f>IF(I6&gt;=Assumptions!$C$42,1+Assumptions!$C$41,1)</f>
        <v>1.25</v>
      </c>
      <c r="J8" s="43">
        <f>IF(J6&gt;=Assumptions!$C$42,1+Assumptions!$C$41,1)</f>
        <v>1.25</v>
      </c>
      <c r="K8" s="43">
        <f>IF(K6&gt;=Assumptions!$C$42,1+Assumptions!$C$41,1)</f>
        <v>1.25</v>
      </c>
      <c r="L8" s="43">
        <f>IF(L6&gt;=Assumptions!$C$42,1+Assumptions!$C$41,1)</f>
        <v>1.25</v>
      </c>
      <c r="M8" s="43">
        <f>IF(M6&gt;=Assumptions!$C$42,1+Assumptions!$C$41,1)</f>
        <v>1.25</v>
      </c>
      <c r="N8" s="43">
        <f>IF(N6&gt;=Assumptions!$C$42,1+Assumptions!$C$41,1)</f>
        <v>1.25</v>
      </c>
      <c r="O8" s="44">
        <f>AVERAGE(C8:N8)</f>
        <v>1.1875</v>
      </c>
    </row>
    <row r="9" spans="1:16" x14ac:dyDescent="0.25">
      <c r="A9" s="8" t="s">
        <v>306</v>
      </c>
      <c r="B9" s="4" t="s">
        <v>305</v>
      </c>
      <c r="C9" s="43">
        <f>IF(C6&gt;=Assumptions!$C$42,1+Assumptions!$C$58,1)</f>
        <v>1</v>
      </c>
      <c r="D9" s="43">
        <f>IF(D6&gt;=Assumptions!$C$42,1+Assumptions!$C$58,1)</f>
        <v>1</v>
      </c>
      <c r="E9" s="43">
        <f>IF(E6&gt;=Assumptions!$C$42,1+Assumptions!$C$58,1)</f>
        <v>1</v>
      </c>
      <c r="F9" s="43">
        <f>IF(F6&gt;=Assumptions!$C$42,1+Assumptions!$C$58,1)</f>
        <v>1.1499999999999999</v>
      </c>
      <c r="G9" s="43">
        <f>IF(G6&gt;=Assumptions!$C$42,1+Assumptions!$C$58,1)</f>
        <v>1.1499999999999999</v>
      </c>
      <c r="H9" s="43">
        <f>IF(H6&gt;=Assumptions!$C$42,1+Assumptions!$C$58,1)</f>
        <v>1.1499999999999999</v>
      </c>
      <c r="I9" s="43">
        <f>IF(I6&gt;=Assumptions!$C$42,1+Assumptions!$C$58,1)</f>
        <v>1.1499999999999999</v>
      </c>
      <c r="J9" s="43">
        <f>IF(J6&gt;=Assumptions!$C$42,1+Assumptions!$C$58,1)</f>
        <v>1.1499999999999999</v>
      </c>
      <c r="K9" s="43">
        <f>IF(K6&gt;=Assumptions!$C$42,1+Assumptions!$C$58,1)</f>
        <v>1.1499999999999999</v>
      </c>
      <c r="L9" s="43">
        <f>IF(L6&gt;=Assumptions!$C$42,1+Assumptions!$C$58,1)</f>
        <v>1.1499999999999999</v>
      </c>
      <c r="M9" s="43">
        <f>IF(M6&gt;=Assumptions!$C$42,1+Assumptions!$C$58,1)</f>
        <v>1.1499999999999999</v>
      </c>
      <c r="N9" s="43">
        <f>IF(N6&gt;=Assumptions!$C$42,1+Assumptions!$C$58,1)</f>
        <v>1.1499999999999999</v>
      </c>
      <c r="O9" s="44">
        <f>AVERAGE(C9:N9)</f>
        <v>1.1125000000000003</v>
      </c>
    </row>
    <row r="10" spans="1:16" x14ac:dyDescent="0.25">
      <c r="A10" s="40" t="s">
        <v>307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x14ac:dyDescent="0.25">
      <c r="A11" s="8" t="s">
        <v>308</v>
      </c>
      <c r="B11" s="4" t="s">
        <v>301</v>
      </c>
      <c r="C11" s="26">
        <v>320000</v>
      </c>
      <c r="D11" s="26">
        <v>360000</v>
      </c>
      <c r="E11" s="26">
        <v>280000</v>
      </c>
      <c r="F11" s="26">
        <v>300000</v>
      </c>
      <c r="G11" s="26">
        <v>320000</v>
      </c>
      <c r="H11" s="26">
        <v>360000</v>
      </c>
      <c r="I11" s="26">
        <v>400000</v>
      </c>
      <c r="J11" s="26">
        <v>420000</v>
      </c>
      <c r="K11" s="26">
        <v>480000</v>
      </c>
      <c r="L11" s="26">
        <v>490000</v>
      </c>
      <c r="M11" s="26">
        <v>540000</v>
      </c>
      <c r="N11" s="26">
        <v>500000</v>
      </c>
      <c r="O11" s="42">
        <f>SUM(C11:N11)</f>
        <v>4770000</v>
      </c>
      <c r="P11" s="45" t="s">
        <v>309</v>
      </c>
    </row>
    <row r="12" spans="1:16" x14ac:dyDescent="0.25">
      <c r="A12" s="8" t="s">
        <v>310</v>
      </c>
      <c r="B12" s="4" t="s">
        <v>100</v>
      </c>
      <c r="C12" s="30">
        <v>0.03</v>
      </c>
      <c r="D12" s="30">
        <v>0.04</v>
      </c>
      <c r="E12" s="30">
        <v>0.02</v>
      </c>
      <c r="F12" s="30">
        <v>0.02</v>
      </c>
      <c r="G12" s="30">
        <v>0.02</v>
      </c>
      <c r="H12" s="30">
        <v>0.02</v>
      </c>
      <c r="I12" s="30">
        <v>0.02</v>
      </c>
      <c r="J12" s="30">
        <v>0.02</v>
      </c>
      <c r="K12" s="30">
        <v>0.02</v>
      </c>
      <c r="L12" s="30">
        <v>0.02</v>
      </c>
      <c r="M12" s="30">
        <v>0.04</v>
      </c>
      <c r="N12" s="30">
        <v>0.02</v>
      </c>
      <c r="O12" s="46">
        <f>1-O13/O11</f>
        <v>2.4444444444444491E-2</v>
      </c>
      <c r="P12" s="45" t="s">
        <v>311</v>
      </c>
    </row>
    <row r="13" spans="1:16" x14ac:dyDescent="0.25">
      <c r="A13" s="47" t="s">
        <v>312</v>
      </c>
      <c r="B13" s="4" t="s">
        <v>301</v>
      </c>
      <c r="C13" s="48">
        <f t="shared" ref="C13:N13" si="0">C11*(1-C12)</f>
        <v>310400</v>
      </c>
      <c r="D13" s="48">
        <f t="shared" si="0"/>
        <v>345600</v>
      </c>
      <c r="E13" s="48">
        <f t="shared" si="0"/>
        <v>274400</v>
      </c>
      <c r="F13" s="48">
        <f t="shared" si="0"/>
        <v>294000</v>
      </c>
      <c r="G13" s="48">
        <f t="shared" si="0"/>
        <v>313600</v>
      </c>
      <c r="H13" s="48">
        <f t="shared" si="0"/>
        <v>352800</v>
      </c>
      <c r="I13" s="48">
        <f t="shared" si="0"/>
        <v>392000</v>
      </c>
      <c r="J13" s="48">
        <f t="shared" si="0"/>
        <v>411600</v>
      </c>
      <c r="K13" s="48">
        <f t="shared" si="0"/>
        <v>470400</v>
      </c>
      <c r="L13" s="48">
        <f t="shared" si="0"/>
        <v>480200</v>
      </c>
      <c r="M13" s="48">
        <f t="shared" si="0"/>
        <v>518400</v>
      </c>
      <c r="N13" s="48">
        <f t="shared" si="0"/>
        <v>490000</v>
      </c>
      <c r="O13" s="42">
        <f>SUM(C13:N13)</f>
        <v>4653400</v>
      </c>
      <c r="P13" s="45" t="s">
        <v>313</v>
      </c>
    </row>
    <row r="14" spans="1:16" x14ac:dyDescent="0.25">
      <c r="A14" s="47" t="s">
        <v>314</v>
      </c>
      <c r="B14" s="4" t="s">
        <v>301</v>
      </c>
      <c r="C14" s="49">
        <v>210000</v>
      </c>
      <c r="D14" s="49">
        <v>230000</v>
      </c>
      <c r="E14" s="49">
        <v>180000</v>
      </c>
      <c r="F14" s="49">
        <v>200000</v>
      </c>
      <c r="G14" s="49">
        <v>210000</v>
      </c>
      <c r="H14" s="49">
        <v>220000</v>
      </c>
      <c r="I14" s="49">
        <v>250000</v>
      </c>
      <c r="J14" s="49">
        <v>260000</v>
      </c>
      <c r="K14" s="49">
        <v>320000</v>
      </c>
      <c r="L14" s="49">
        <v>350000</v>
      </c>
      <c r="M14" s="49">
        <v>400000</v>
      </c>
      <c r="N14" s="49">
        <v>380000</v>
      </c>
      <c r="O14" s="42">
        <f>SUM(C14:N14)</f>
        <v>3210000</v>
      </c>
      <c r="P14" s="45" t="s">
        <v>311</v>
      </c>
    </row>
    <row r="15" spans="1:16" x14ac:dyDescent="0.25">
      <c r="A15" s="8" t="s">
        <v>315</v>
      </c>
      <c r="B15" s="4" t="s">
        <v>291</v>
      </c>
      <c r="C15" s="50">
        <f>Assumptions!$C$70</f>
        <v>1</v>
      </c>
      <c r="D15" s="50">
        <f>Assumptions!$C$70</f>
        <v>1</v>
      </c>
      <c r="E15" s="50">
        <f>Assumptions!$C$70</f>
        <v>1</v>
      </c>
      <c r="F15" s="50">
        <f>Assumptions!$C$70</f>
        <v>1</v>
      </c>
      <c r="G15" s="50">
        <f>Assumptions!$C$70</f>
        <v>1</v>
      </c>
      <c r="H15" s="50">
        <f>Assumptions!$C$70</f>
        <v>1</v>
      </c>
      <c r="I15" s="50">
        <f>Assumptions!$C$70</f>
        <v>1</v>
      </c>
      <c r="J15" s="50">
        <f>Assumptions!$C$70</f>
        <v>1</v>
      </c>
      <c r="K15" s="50">
        <f>Assumptions!$C$70</f>
        <v>1</v>
      </c>
      <c r="L15" s="50">
        <f>Assumptions!$C$70</f>
        <v>1</v>
      </c>
      <c r="M15" s="50">
        <f>Assumptions!$C$70</f>
        <v>1</v>
      </c>
      <c r="N15" s="50">
        <f>Assumptions!$C$70</f>
        <v>1</v>
      </c>
      <c r="O15" s="44">
        <f>AVERAGE(C15:N15)</f>
        <v>1</v>
      </c>
      <c r="P15" s="45" t="s">
        <v>316</v>
      </c>
    </row>
    <row r="16" spans="1:16" x14ac:dyDescent="0.25">
      <c r="A16" s="47" t="s">
        <v>317</v>
      </c>
      <c r="B16" s="4" t="s">
        <v>301</v>
      </c>
      <c r="C16" s="48">
        <f t="shared" ref="C16:N16" si="1">C13*C15</f>
        <v>310400</v>
      </c>
      <c r="D16" s="48">
        <f t="shared" si="1"/>
        <v>345600</v>
      </c>
      <c r="E16" s="48">
        <f t="shared" si="1"/>
        <v>274400</v>
      </c>
      <c r="F16" s="48">
        <f t="shared" si="1"/>
        <v>294000</v>
      </c>
      <c r="G16" s="48">
        <f t="shared" si="1"/>
        <v>313600</v>
      </c>
      <c r="H16" s="48">
        <f t="shared" si="1"/>
        <v>352800</v>
      </c>
      <c r="I16" s="48">
        <f t="shared" si="1"/>
        <v>392000</v>
      </c>
      <c r="J16" s="48">
        <f t="shared" si="1"/>
        <v>411600</v>
      </c>
      <c r="K16" s="48">
        <f t="shared" si="1"/>
        <v>470400</v>
      </c>
      <c r="L16" s="48">
        <f t="shared" si="1"/>
        <v>480200</v>
      </c>
      <c r="M16" s="48">
        <f t="shared" si="1"/>
        <v>518400</v>
      </c>
      <c r="N16" s="48">
        <f t="shared" si="1"/>
        <v>490000</v>
      </c>
      <c r="O16" s="42">
        <f>SUM(C16:N16)</f>
        <v>4653400</v>
      </c>
      <c r="P16" s="45" t="s">
        <v>318</v>
      </c>
    </row>
    <row r="17" spans="1:16" x14ac:dyDescent="0.25">
      <c r="A17" s="47" t="s">
        <v>319</v>
      </c>
      <c r="B17" s="4" t="s">
        <v>301</v>
      </c>
      <c r="C17" s="48">
        <f t="shared" ref="C17:N17" si="2">C14*C15</f>
        <v>210000</v>
      </c>
      <c r="D17" s="48">
        <f t="shared" si="2"/>
        <v>230000</v>
      </c>
      <c r="E17" s="48">
        <f t="shared" si="2"/>
        <v>180000</v>
      </c>
      <c r="F17" s="48">
        <f t="shared" si="2"/>
        <v>200000</v>
      </c>
      <c r="G17" s="48">
        <f t="shared" si="2"/>
        <v>210000</v>
      </c>
      <c r="H17" s="48">
        <f t="shared" si="2"/>
        <v>220000</v>
      </c>
      <c r="I17" s="48">
        <f t="shared" si="2"/>
        <v>250000</v>
      </c>
      <c r="J17" s="48">
        <f t="shared" si="2"/>
        <v>260000</v>
      </c>
      <c r="K17" s="48">
        <f t="shared" si="2"/>
        <v>320000</v>
      </c>
      <c r="L17" s="48">
        <f t="shared" si="2"/>
        <v>350000</v>
      </c>
      <c r="M17" s="48">
        <f t="shared" si="2"/>
        <v>400000</v>
      </c>
      <c r="N17" s="48">
        <f t="shared" si="2"/>
        <v>380000</v>
      </c>
      <c r="O17" s="42">
        <f>SUM(C17:N17)</f>
        <v>3210000</v>
      </c>
    </row>
    <row r="18" spans="1:16" x14ac:dyDescent="0.25">
      <c r="A18" s="51" t="s">
        <v>320</v>
      </c>
      <c r="B18" s="52" t="s">
        <v>301</v>
      </c>
      <c r="C18" s="53">
        <f t="shared" ref="C18:N18" si="3">C16+C17</f>
        <v>520400</v>
      </c>
      <c r="D18" s="53">
        <f t="shared" si="3"/>
        <v>575600</v>
      </c>
      <c r="E18" s="53">
        <f t="shared" si="3"/>
        <v>454400</v>
      </c>
      <c r="F18" s="53">
        <f t="shared" si="3"/>
        <v>494000</v>
      </c>
      <c r="G18" s="53">
        <f t="shared" si="3"/>
        <v>523600</v>
      </c>
      <c r="H18" s="53">
        <f t="shared" si="3"/>
        <v>572800</v>
      </c>
      <c r="I18" s="53">
        <f t="shared" si="3"/>
        <v>642000</v>
      </c>
      <c r="J18" s="53">
        <f t="shared" si="3"/>
        <v>671600</v>
      </c>
      <c r="K18" s="53">
        <f t="shared" si="3"/>
        <v>790400</v>
      </c>
      <c r="L18" s="53">
        <f t="shared" si="3"/>
        <v>830200</v>
      </c>
      <c r="M18" s="53">
        <f t="shared" si="3"/>
        <v>918400</v>
      </c>
      <c r="N18" s="53">
        <f t="shared" si="3"/>
        <v>870000</v>
      </c>
      <c r="O18" s="54">
        <f>SUM(C18:N18)</f>
        <v>7863400</v>
      </c>
    </row>
    <row r="19" spans="1:16" x14ac:dyDescent="0.25">
      <c r="A19" s="8" t="s">
        <v>321</v>
      </c>
      <c r="B19" s="4" t="s">
        <v>100</v>
      </c>
      <c r="C19" s="55">
        <f t="shared" ref="C19:O19" si="4">C16/C18</f>
        <v>0.59646425826287475</v>
      </c>
      <c r="D19" s="55">
        <f t="shared" si="4"/>
        <v>0.6004169562195969</v>
      </c>
      <c r="E19" s="55">
        <f t="shared" si="4"/>
        <v>0.60387323943661975</v>
      </c>
      <c r="F19" s="55">
        <f t="shared" si="4"/>
        <v>0.59514170040485825</v>
      </c>
      <c r="G19" s="55">
        <f t="shared" si="4"/>
        <v>0.59893048128342241</v>
      </c>
      <c r="H19" s="55">
        <f t="shared" si="4"/>
        <v>0.61592178770949724</v>
      </c>
      <c r="I19" s="55">
        <f t="shared" si="4"/>
        <v>0.61059190031152644</v>
      </c>
      <c r="J19" s="55">
        <f t="shared" si="4"/>
        <v>0.61286480047647407</v>
      </c>
      <c r="K19" s="55">
        <f t="shared" si="4"/>
        <v>0.59514170040485825</v>
      </c>
      <c r="L19" s="55">
        <f t="shared" si="4"/>
        <v>0.57841483979763908</v>
      </c>
      <c r="M19" s="55">
        <f t="shared" si="4"/>
        <v>0.56445993031358888</v>
      </c>
      <c r="N19" s="55">
        <f t="shared" si="4"/>
        <v>0.56321839080459768</v>
      </c>
      <c r="O19" s="46">
        <f t="shared" si="4"/>
        <v>0.59177963730701733</v>
      </c>
    </row>
    <row r="20" spans="1:16" x14ac:dyDescent="0.25">
      <c r="A20" s="40" t="s">
        <v>322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x14ac:dyDescent="0.25">
      <c r="A21" s="8" t="s">
        <v>276</v>
      </c>
      <c r="B21" s="4" t="s">
        <v>323</v>
      </c>
      <c r="C21" s="20">
        <f>Assumptions!$C$65</f>
        <v>32000</v>
      </c>
      <c r="D21" s="20">
        <f>Assumptions!$C$65</f>
        <v>32000</v>
      </c>
      <c r="E21" s="20">
        <f>Assumptions!$C$65</f>
        <v>32000</v>
      </c>
      <c r="F21" s="20">
        <f>Assumptions!$C$65</f>
        <v>32000</v>
      </c>
      <c r="G21" s="20">
        <f>Assumptions!$C$65</f>
        <v>32000</v>
      </c>
      <c r="H21" s="20">
        <f>Assumptions!$C$65</f>
        <v>32000</v>
      </c>
      <c r="I21" s="20">
        <f>Assumptions!$C$65</f>
        <v>32000</v>
      </c>
      <c r="J21" s="20">
        <f>Assumptions!$C$65</f>
        <v>32000</v>
      </c>
      <c r="K21" s="20">
        <f>Assumptions!$C$65</f>
        <v>32000</v>
      </c>
      <c r="L21" s="20">
        <f>Assumptions!$C$65</f>
        <v>32000</v>
      </c>
      <c r="M21" s="20">
        <f>Assumptions!$C$65</f>
        <v>32000</v>
      </c>
      <c r="N21" s="20">
        <f>Assumptions!$C$65</f>
        <v>32000</v>
      </c>
      <c r="O21" s="42">
        <f>IFERROR(O27*1000000/O16,0)</f>
        <v>32000</v>
      </c>
      <c r="P21" s="45" t="s">
        <v>324</v>
      </c>
    </row>
    <row r="22" spans="1:16" x14ac:dyDescent="0.25">
      <c r="A22" s="8" t="s">
        <v>279</v>
      </c>
      <c r="B22" s="4" t="s">
        <v>323</v>
      </c>
      <c r="C22" s="20">
        <f>Assumptions!$C$66</f>
        <v>17000</v>
      </c>
      <c r="D22" s="20">
        <f>Assumptions!$C$66</f>
        <v>17000</v>
      </c>
      <c r="E22" s="20">
        <f>Assumptions!$C$66</f>
        <v>17000</v>
      </c>
      <c r="F22" s="20">
        <f>Assumptions!$C$66</f>
        <v>17000</v>
      </c>
      <c r="G22" s="20">
        <f>Assumptions!$C$66</f>
        <v>17000</v>
      </c>
      <c r="H22" s="20">
        <f>Assumptions!$C$66</f>
        <v>17000</v>
      </c>
      <c r="I22" s="20">
        <f>Assumptions!$C$66</f>
        <v>17000</v>
      </c>
      <c r="J22" s="20">
        <f>Assumptions!$C$66</f>
        <v>17000</v>
      </c>
      <c r="K22" s="20">
        <f>Assumptions!$C$66</f>
        <v>17000</v>
      </c>
      <c r="L22" s="20">
        <f>Assumptions!$C$66</f>
        <v>17000</v>
      </c>
      <c r="M22" s="20">
        <f>Assumptions!$C$66</f>
        <v>17000</v>
      </c>
      <c r="N22" s="20">
        <f>Assumptions!$C$66</f>
        <v>17000</v>
      </c>
      <c r="O22" s="42">
        <f>IFERROR(O28*1000000/O17,0)</f>
        <v>17000</v>
      </c>
    </row>
    <row r="23" spans="1:16" x14ac:dyDescent="0.25">
      <c r="A23" s="8" t="s">
        <v>325</v>
      </c>
      <c r="B23" s="4" t="s">
        <v>326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1000</v>
      </c>
      <c r="L23" s="35">
        <v>0</v>
      </c>
      <c r="M23" s="35">
        <v>0</v>
      </c>
      <c r="N23" s="35">
        <v>0</v>
      </c>
      <c r="O23" s="42">
        <f>SUM(C23:N23)</f>
        <v>1000</v>
      </c>
      <c r="P23" s="45" t="s">
        <v>327</v>
      </c>
    </row>
    <row r="24" spans="1:16" x14ac:dyDescent="0.25">
      <c r="A24" s="8" t="s">
        <v>328</v>
      </c>
      <c r="B24" s="4" t="s">
        <v>326</v>
      </c>
      <c r="C24" s="56">
        <f>-IF(C12&gt;Assumptions!$C$67,Assumptions!$C$68*C27,0)</f>
        <v>0</v>
      </c>
      <c r="D24" s="56">
        <f>-IF(D12&gt;Assumptions!$C$67,Assumptions!$C$68*D27,0)</f>
        <v>-165.88800000000001</v>
      </c>
      <c r="E24" s="56">
        <f>-IF(E12&gt;Assumptions!$C$67,Assumptions!$C$68*E27,0)</f>
        <v>0</v>
      </c>
      <c r="F24" s="56">
        <f>-IF(F12&gt;Assumptions!$C$67,Assumptions!$C$68*F27,0)</f>
        <v>0</v>
      </c>
      <c r="G24" s="56">
        <f>-IF(G12&gt;Assumptions!$C$67,Assumptions!$C$68*G27,0)</f>
        <v>0</v>
      </c>
      <c r="H24" s="56">
        <f>-IF(H12&gt;Assumptions!$C$67,Assumptions!$C$68*H27,0)</f>
        <v>0</v>
      </c>
      <c r="I24" s="56">
        <f>-IF(I12&gt;Assumptions!$C$67,Assumptions!$C$68*I27,0)</f>
        <v>0</v>
      </c>
      <c r="J24" s="56">
        <f>-IF(J12&gt;Assumptions!$C$67,Assumptions!$C$68*J27,0)</f>
        <v>0</v>
      </c>
      <c r="K24" s="56">
        <f>-IF(K12&gt;Assumptions!$C$67,Assumptions!$C$68*K27,0)</f>
        <v>0</v>
      </c>
      <c r="L24" s="56">
        <f>-IF(L12&gt;Assumptions!$C$67,Assumptions!$C$68*L27,0)</f>
        <v>0</v>
      </c>
      <c r="M24" s="56">
        <f>-IF(M12&gt;Assumptions!$C$67,Assumptions!$C$68*M27,0)</f>
        <v>-248.83199999999999</v>
      </c>
      <c r="N24" s="56">
        <f>-IF(N12&gt;Assumptions!$C$67,Assumptions!$C$68*N27,0)</f>
        <v>0</v>
      </c>
      <c r="O24" s="42">
        <f>SUM(C24:N24)</f>
        <v>-414.72</v>
      </c>
      <c r="P24" s="45" t="s">
        <v>329</v>
      </c>
    </row>
    <row r="25" spans="1:16" x14ac:dyDescent="0.25">
      <c r="A25" s="57" t="s">
        <v>330</v>
      </c>
      <c r="B25" s="52" t="s">
        <v>326</v>
      </c>
      <c r="C25" s="58">
        <f t="shared" ref="C25:N25" si="5">C23+C24</f>
        <v>0</v>
      </c>
      <c r="D25" s="58">
        <f t="shared" si="5"/>
        <v>-165.88800000000001</v>
      </c>
      <c r="E25" s="58">
        <f t="shared" si="5"/>
        <v>0</v>
      </c>
      <c r="F25" s="58">
        <f t="shared" si="5"/>
        <v>0</v>
      </c>
      <c r="G25" s="58">
        <f t="shared" si="5"/>
        <v>0</v>
      </c>
      <c r="H25" s="58">
        <f t="shared" si="5"/>
        <v>0</v>
      </c>
      <c r="I25" s="58">
        <f t="shared" si="5"/>
        <v>0</v>
      </c>
      <c r="J25" s="58">
        <f t="shared" si="5"/>
        <v>0</v>
      </c>
      <c r="K25" s="58">
        <f t="shared" si="5"/>
        <v>1000</v>
      </c>
      <c r="L25" s="58">
        <f t="shared" si="5"/>
        <v>0</v>
      </c>
      <c r="M25" s="58">
        <f t="shared" si="5"/>
        <v>-248.83199999999999</v>
      </c>
      <c r="N25" s="58">
        <f t="shared" si="5"/>
        <v>0</v>
      </c>
      <c r="O25" s="54">
        <f>SUM(C25:N25)</f>
        <v>585.28</v>
      </c>
    </row>
    <row r="26" spans="1:16" x14ac:dyDescent="0.25">
      <c r="A26" s="40" t="s">
        <v>331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x14ac:dyDescent="0.25">
      <c r="A27" s="8" t="s">
        <v>332</v>
      </c>
      <c r="B27" s="4" t="s">
        <v>326</v>
      </c>
      <c r="C27" s="56">
        <f t="shared" ref="C27:N27" si="6">C16*C21/1000000</f>
        <v>9932.7999999999993</v>
      </c>
      <c r="D27" s="56">
        <f t="shared" si="6"/>
        <v>11059.2</v>
      </c>
      <c r="E27" s="56">
        <f t="shared" si="6"/>
        <v>8780.7999999999993</v>
      </c>
      <c r="F27" s="56">
        <f t="shared" si="6"/>
        <v>9408</v>
      </c>
      <c r="G27" s="56">
        <f t="shared" si="6"/>
        <v>10035.200000000001</v>
      </c>
      <c r="H27" s="56">
        <f t="shared" si="6"/>
        <v>11289.6</v>
      </c>
      <c r="I27" s="56">
        <f t="shared" si="6"/>
        <v>12544</v>
      </c>
      <c r="J27" s="56">
        <f t="shared" si="6"/>
        <v>13171.2</v>
      </c>
      <c r="K27" s="56">
        <f t="shared" si="6"/>
        <v>15052.8</v>
      </c>
      <c r="L27" s="56">
        <f t="shared" si="6"/>
        <v>15366.4</v>
      </c>
      <c r="M27" s="56">
        <f t="shared" si="6"/>
        <v>16588.8</v>
      </c>
      <c r="N27" s="56">
        <f t="shared" si="6"/>
        <v>15680</v>
      </c>
      <c r="O27" s="42">
        <f>SUM(C27:N27)</f>
        <v>148908.79999999999</v>
      </c>
    </row>
    <row r="28" spans="1:16" x14ac:dyDescent="0.25">
      <c r="A28" s="8" t="s">
        <v>333</v>
      </c>
      <c r="B28" s="4" t="s">
        <v>326</v>
      </c>
      <c r="C28" s="56">
        <f t="shared" ref="C28:N28" si="7">C17*C22/1000000</f>
        <v>3570</v>
      </c>
      <c r="D28" s="56">
        <f t="shared" si="7"/>
        <v>3910</v>
      </c>
      <c r="E28" s="56">
        <f t="shared" si="7"/>
        <v>3060</v>
      </c>
      <c r="F28" s="56">
        <f t="shared" si="7"/>
        <v>3400</v>
      </c>
      <c r="G28" s="56">
        <f t="shared" si="7"/>
        <v>3570</v>
      </c>
      <c r="H28" s="56">
        <f t="shared" si="7"/>
        <v>3740</v>
      </c>
      <c r="I28" s="56">
        <f t="shared" si="7"/>
        <v>4250</v>
      </c>
      <c r="J28" s="56">
        <f t="shared" si="7"/>
        <v>4420</v>
      </c>
      <c r="K28" s="56">
        <f t="shared" si="7"/>
        <v>5440</v>
      </c>
      <c r="L28" s="56">
        <f t="shared" si="7"/>
        <v>5950</v>
      </c>
      <c r="M28" s="56">
        <f t="shared" si="7"/>
        <v>6800</v>
      </c>
      <c r="N28" s="56">
        <f t="shared" si="7"/>
        <v>6460</v>
      </c>
      <c r="O28" s="42">
        <f>SUM(C28:N28)</f>
        <v>54570</v>
      </c>
    </row>
    <row r="29" spans="1:16" x14ac:dyDescent="0.25">
      <c r="A29" s="8" t="s">
        <v>330</v>
      </c>
      <c r="B29" s="4" t="s">
        <v>326</v>
      </c>
      <c r="C29" s="56">
        <f t="shared" ref="C29:N29" si="8">C25</f>
        <v>0</v>
      </c>
      <c r="D29" s="56">
        <f t="shared" si="8"/>
        <v>-165.88800000000001</v>
      </c>
      <c r="E29" s="56">
        <f t="shared" si="8"/>
        <v>0</v>
      </c>
      <c r="F29" s="56">
        <f t="shared" si="8"/>
        <v>0</v>
      </c>
      <c r="G29" s="56">
        <f t="shared" si="8"/>
        <v>0</v>
      </c>
      <c r="H29" s="56">
        <f t="shared" si="8"/>
        <v>0</v>
      </c>
      <c r="I29" s="56">
        <f t="shared" si="8"/>
        <v>0</v>
      </c>
      <c r="J29" s="56">
        <f t="shared" si="8"/>
        <v>0</v>
      </c>
      <c r="K29" s="56">
        <f t="shared" si="8"/>
        <v>1000</v>
      </c>
      <c r="L29" s="56">
        <f t="shared" si="8"/>
        <v>0</v>
      </c>
      <c r="M29" s="56">
        <f t="shared" si="8"/>
        <v>-248.83199999999999</v>
      </c>
      <c r="N29" s="56">
        <f t="shared" si="8"/>
        <v>0</v>
      </c>
      <c r="O29" s="42">
        <f>SUM(C29:N29)</f>
        <v>585.28</v>
      </c>
    </row>
    <row r="30" spans="1:16" x14ac:dyDescent="0.25">
      <c r="A30" s="59" t="s">
        <v>334</v>
      </c>
      <c r="B30" s="60" t="s">
        <v>326</v>
      </c>
      <c r="C30" s="61">
        <f t="shared" ref="C30:N30" si="9">SUM(C27:C29)</f>
        <v>13502.8</v>
      </c>
      <c r="D30" s="61">
        <f t="shared" si="9"/>
        <v>14803.312</v>
      </c>
      <c r="E30" s="61">
        <f t="shared" si="9"/>
        <v>11840.8</v>
      </c>
      <c r="F30" s="61">
        <f t="shared" si="9"/>
        <v>12808</v>
      </c>
      <c r="G30" s="61">
        <f t="shared" si="9"/>
        <v>13605.2</v>
      </c>
      <c r="H30" s="61">
        <f t="shared" si="9"/>
        <v>15029.6</v>
      </c>
      <c r="I30" s="61">
        <f t="shared" si="9"/>
        <v>16794</v>
      </c>
      <c r="J30" s="61">
        <f t="shared" si="9"/>
        <v>17591.2</v>
      </c>
      <c r="K30" s="61">
        <f t="shared" si="9"/>
        <v>21492.799999999999</v>
      </c>
      <c r="L30" s="61">
        <f t="shared" si="9"/>
        <v>21316.400000000001</v>
      </c>
      <c r="M30" s="61">
        <f t="shared" si="9"/>
        <v>23139.968000000001</v>
      </c>
      <c r="N30" s="61">
        <f t="shared" si="9"/>
        <v>22140</v>
      </c>
      <c r="O30" s="62">
        <f>SUM(C30:N30)</f>
        <v>204064.08</v>
      </c>
    </row>
    <row r="31" spans="1:16" x14ac:dyDescent="0.25">
      <c r="A31" s="63" t="s">
        <v>335</v>
      </c>
      <c r="B31" s="4" t="s">
        <v>100</v>
      </c>
      <c r="C31" s="55">
        <f>0</f>
        <v>0</v>
      </c>
      <c r="D31" s="55">
        <f t="shared" ref="D31:N31" si="10">D30/C30-1</f>
        <v>9.631424593417659E-2</v>
      </c>
      <c r="E31" s="55">
        <f t="shared" si="10"/>
        <v>-0.20012494501230538</v>
      </c>
      <c r="F31" s="55">
        <f t="shared" si="10"/>
        <v>8.1683670022295818E-2</v>
      </c>
      <c r="G31" s="55">
        <f t="shared" si="10"/>
        <v>6.224234853216748E-2</v>
      </c>
      <c r="H31" s="55">
        <f t="shared" si="10"/>
        <v>0.1046952635756917</v>
      </c>
      <c r="I31" s="55">
        <f t="shared" si="10"/>
        <v>0.11739500718581986</v>
      </c>
      <c r="J31" s="55">
        <f t="shared" si="10"/>
        <v>4.7469334286054599E-2</v>
      </c>
      <c r="K31" s="55">
        <f t="shared" si="10"/>
        <v>0.22179271453908767</v>
      </c>
      <c r="L31" s="55">
        <f t="shared" si="10"/>
        <v>-8.2073996873370803E-3</v>
      </c>
      <c r="M31" s="55">
        <f t="shared" si="10"/>
        <v>8.5547653449925765E-2</v>
      </c>
      <c r="N31" s="55">
        <f t="shared" si="10"/>
        <v>-4.3213888627676611E-2</v>
      </c>
      <c r="O31" s="4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P59"/>
  <sheetViews>
    <sheetView showGridLines="0" zoomScaleNormal="100" workbookViewId="0">
      <pane xSplit="2" ySplit="4" topLeftCell="C47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52" customWidth="1"/>
    <col min="2" max="2" width="14" customWidth="1"/>
    <col min="3" max="14" width="11" customWidth="1"/>
    <col min="15" max="15" width="13" customWidth="1"/>
    <col min="16" max="16" width="60" customWidth="1"/>
  </cols>
  <sheetData>
    <row r="1" spans="1:16" ht="18" x14ac:dyDescent="0.25">
      <c r="A1" s="13" t="s">
        <v>336</v>
      </c>
    </row>
    <row r="2" spans="1:16" x14ac:dyDescent="0.25">
      <c r="A2" s="4" t="s">
        <v>337</v>
      </c>
    </row>
    <row r="4" spans="1:16" x14ac:dyDescent="0.25">
      <c r="A4" s="38" t="s">
        <v>296</v>
      </c>
      <c r="B4" s="38" t="s">
        <v>86</v>
      </c>
      <c r="C4" s="39" t="s">
        <v>68</v>
      </c>
      <c r="D4" s="39" t="s">
        <v>69</v>
      </c>
      <c r="E4" s="39" t="s">
        <v>70</v>
      </c>
      <c r="F4" s="39" t="s">
        <v>71</v>
      </c>
      <c r="G4" s="39" t="s">
        <v>72</v>
      </c>
      <c r="H4" s="39" t="s">
        <v>73</v>
      </c>
      <c r="I4" s="39" t="s">
        <v>74</v>
      </c>
      <c r="J4" s="39" t="s">
        <v>75</v>
      </c>
      <c r="K4" s="39" t="s">
        <v>76</v>
      </c>
      <c r="L4" s="39" t="s">
        <v>77</v>
      </c>
      <c r="M4" s="39" t="s">
        <v>78</v>
      </c>
      <c r="N4" s="39" t="s">
        <v>79</v>
      </c>
      <c r="O4" s="39" t="s">
        <v>297</v>
      </c>
      <c r="P4" s="39" t="s">
        <v>298</v>
      </c>
    </row>
    <row r="5" spans="1:16" x14ac:dyDescent="0.25">
      <c r="A5" s="40" t="s">
        <v>338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x14ac:dyDescent="0.25">
      <c r="A6" s="8" t="s">
        <v>339</v>
      </c>
      <c r="B6" s="4" t="s">
        <v>301</v>
      </c>
      <c r="C6" s="20">
        <f>Topline_ExC!C13</f>
        <v>310400</v>
      </c>
      <c r="D6" s="20">
        <f>Topline_ExC!D13</f>
        <v>345600</v>
      </c>
      <c r="E6" s="20">
        <f>Topline_ExC!E13</f>
        <v>274400</v>
      </c>
      <c r="F6" s="20">
        <f>Topline_ExC!F13</f>
        <v>294000</v>
      </c>
      <c r="G6" s="20">
        <f>Topline_ExC!G13</f>
        <v>313600</v>
      </c>
      <c r="H6" s="20">
        <f>Topline_ExC!H13</f>
        <v>352800</v>
      </c>
      <c r="I6" s="20">
        <f>Topline_ExC!I13</f>
        <v>392000</v>
      </c>
      <c r="J6" s="20">
        <f>Topline_ExC!J13</f>
        <v>411600</v>
      </c>
      <c r="K6" s="20">
        <f>Topline_ExC!K13</f>
        <v>470400</v>
      </c>
      <c r="L6" s="20">
        <f>Topline_ExC!L13</f>
        <v>480200</v>
      </c>
      <c r="M6" s="20">
        <f>Topline_ExC!M13</f>
        <v>518400</v>
      </c>
      <c r="N6" s="20">
        <f>Topline_ExC!N13</f>
        <v>490000</v>
      </c>
      <c r="O6" s="42">
        <f>SUM(C6:N6)</f>
        <v>4653400</v>
      </c>
    </row>
    <row r="7" spans="1:16" x14ac:dyDescent="0.25">
      <c r="A7" s="8" t="s">
        <v>340</v>
      </c>
      <c r="B7" s="4" t="s">
        <v>341</v>
      </c>
      <c r="C7" s="20">
        <f>Assumptions!$C$6</f>
        <v>75</v>
      </c>
      <c r="D7" s="20">
        <f>Assumptions!$C$6</f>
        <v>75</v>
      </c>
      <c r="E7" s="20">
        <f>Assumptions!$C$6</f>
        <v>75</v>
      </c>
      <c r="F7" s="20">
        <f>Assumptions!$C$6</f>
        <v>75</v>
      </c>
      <c r="G7" s="20">
        <f>Assumptions!$C$6</f>
        <v>75</v>
      </c>
      <c r="H7" s="20">
        <f>Assumptions!$C$6</f>
        <v>75</v>
      </c>
      <c r="I7" s="20">
        <f>Assumptions!$C$6</f>
        <v>75</v>
      </c>
      <c r="J7" s="20">
        <f>Assumptions!$C$6</f>
        <v>75</v>
      </c>
      <c r="K7" s="20">
        <f>Assumptions!$C$6</f>
        <v>75</v>
      </c>
      <c r="L7" s="20">
        <f>Assumptions!$C$6</f>
        <v>75</v>
      </c>
      <c r="M7" s="20">
        <f>Assumptions!$C$6</f>
        <v>75</v>
      </c>
      <c r="N7" s="20">
        <f>Assumptions!$C$6</f>
        <v>75</v>
      </c>
      <c r="O7" s="42">
        <f>AVERAGE(C7:N7)</f>
        <v>75</v>
      </c>
    </row>
    <row r="8" spans="1:16" x14ac:dyDescent="0.25">
      <c r="A8" s="47" t="s">
        <v>342</v>
      </c>
      <c r="B8" s="4" t="s">
        <v>113</v>
      </c>
      <c r="C8" s="48">
        <f t="shared" ref="C8:N8" si="0">C6*C7/3600</f>
        <v>6466.666666666667</v>
      </c>
      <c r="D8" s="48">
        <f t="shared" si="0"/>
        <v>7200</v>
      </c>
      <c r="E8" s="48">
        <f t="shared" si="0"/>
        <v>5716.666666666667</v>
      </c>
      <c r="F8" s="48">
        <f t="shared" si="0"/>
        <v>6125</v>
      </c>
      <c r="G8" s="48">
        <f t="shared" si="0"/>
        <v>6533.333333333333</v>
      </c>
      <c r="H8" s="48">
        <f t="shared" si="0"/>
        <v>7350</v>
      </c>
      <c r="I8" s="48">
        <f t="shared" si="0"/>
        <v>8166.666666666667</v>
      </c>
      <c r="J8" s="48">
        <f t="shared" si="0"/>
        <v>8575</v>
      </c>
      <c r="K8" s="48">
        <f t="shared" si="0"/>
        <v>9800</v>
      </c>
      <c r="L8" s="48">
        <f t="shared" si="0"/>
        <v>10004.166666666666</v>
      </c>
      <c r="M8" s="48">
        <f t="shared" si="0"/>
        <v>10800</v>
      </c>
      <c r="N8" s="48">
        <f t="shared" si="0"/>
        <v>10208.333333333334</v>
      </c>
      <c r="O8" s="42">
        <f>SUM(C8:N8)</f>
        <v>96945.833333333343</v>
      </c>
    </row>
    <row r="9" spans="1:16" x14ac:dyDescent="0.25">
      <c r="A9" s="8" t="s">
        <v>343</v>
      </c>
      <c r="B9" s="4" t="s">
        <v>301</v>
      </c>
      <c r="C9" s="20">
        <f>Topline_ExC!C14</f>
        <v>210000</v>
      </c>
      <c r="D9" s="20">
        <f>Topline_ExC!D14</f>
        <v>230000</v>
      </c>
      <c r="E9" s="20">
        <f>Topline_ExC!E14</f>
        <v>180000</v>
      </c>
      <c r="F9" s="20">
        <f>Topline_ExC!F14</f>
        <v>200000</v>
      </c>
      <c r="G9" s="20">
        <f>Topline_ExC!G14</f>
        <v>210000</v>
      </c>
      <c r="H9" s="20">
        <f>Topline_ExC!H14</f>
        <v>220000</v>
      </c>
      <c r="I9" s="20">
        <f>Topline_ExC!I14</f>
        <v>250000</v>
      </c>
      <c r="J9" s="20">
        <f>Topline_ExC!J14</f>
        <v>260000</v>
      </c>
      <c r="K9" s="20">
        <f>Topline_ExC!K14</f>
        <v>320000</v>
      </c>
      <c r="L9" s="20">
        <f>Topline_ExC!L14</f>
        <v>350000</v>
      </c>
      <c r="M9" s="20">
        <f>Topline_ExC!M14</f>
        <v>400000</v>
      </c>
      <c r="N9" s="20">
        <f>Topline_ExC!N14</f>
        <v>380000</v>
      </c>
      <c r="O9" s="42">
        <f>SUM(C9:N9)</f>
        <v>3210000</v>
      </c>
    </row>
    <row r="10" spans="1:16" x14ac:dyDescent="0.25">
      <c r="A10" s="8" t="s">
        <v>344</v>
      </c>
      <c r="B10" s="4" t="s">
        <v>341</v>
      </c>
      <c r="C10" s="20">
        <f>Assumptions!$C$7</f>
        <v>40</v>
      </c>
      <c r="D10" s="20">
        <f>Assumptions!$C$7</f>
        <v>40</v>
      </c>
      <c r="E10" s="20">
        <f>Assumptions!$C$7</f>
        <v>40</v>
      </c>
      <c r="F10" s="20">
        <f>Assumptions!$C$7</f>
        <v>40</v>
      </c>
      <c r="G10" s="20">
        <f>Assumptions!$C$7</f>
        <v>40</v>
      </c>
      <c r="H10" s="20">
        <f>Assumptions!$C$7</f>
        <v>40</v>
      </c>
      <c r="I10" s="20">
        <f>Assumptions!$C$7</f>
        <v>40</v>
      </c>
      <c r="J10" s="20">
        <f>Assumptions!$C$7</f>
        <v>40</v>
      </c>
      <c r="K10" s="20">
        <f>Assumptions!$C$7</f>
        <v>40</v>
      </c>
      <c r="L10" s="20">
        <f>Assumptions!$C$7</f>
        <v>40</v>
      </c>
      <c r="M10" s="20">
        <f>Assumptions!$C$7</f>
        <v>40</v>
      </c>
      <c r="N10" s="20">
        <f>Assumptions!$C$7</f>
        <v>40</v>
      </c>
      <c r="O10" s="42">
        <f>AVERAGE(C10:N10)</f>
        <v>40</v>
      </c>
    </row>
    <row r="11" spans="1:16" x14ac:dyDescent="0.25">
      <c r="A11" s="47" t="s">
        <v>345</v>
      </c>
      <c r="B11" s="4" t="s">
        <v>113</v>
      </c>
      <c r="C11" s="48">
        <f t="shared" ref="C11:N11" si="1">C9*C10/3600</f>
        <v>2333.3333333333335</v>
      </c>
      <c r="D11" s="48">
        <f t="shared" si="1"/>
        <v>2555.5555555555557</v>
      </c>
      <c r="E11" s="48">
        <f t="shared" si="1"/>
        <v>2000</v>
      </c>
      <c r="F11" s="48">
        <f t="shared" si="1"/>
        <v>2222.2222222222222</v>
      </c>
      <c r="G11" s="48">
        <f t="shared" si="1"/>
        <v>2333.3333333333335</v>
      </c>
      <c r="H11" s="48">
        <f t="shared" si="1"/>
        <v>2444.4444444444443</v>
      </c>
      <c r="I11" s="48">
        <f t="shared" si="1"/>
        <v>2777.7777777777778</v>
      </c>
      <c r="J11" s="48">
        <f t="shared" si="1"/>
        <v>2888.8888888888887</v>
      </c>
      <c r="K11" s="48">
        <f t="shared" si="1"/>
        <v>3555.5555555555557</v>
      </c>
      <c r="L11" s="48">
        <f t="shared" si="1"/>
        <v>3888.8888888888887</v>
      </c>
      <c r="M11" s="48">
        <f t="shared" si="1"/>
        <v>4444.4444444444443</v>
      </c>
      <c r="N11" s="48">
        <f t="shared" si="1"/>
        <v>4222.2222222222226</v>
      </c>
      <c r="O11" s="42">
        <f>SUM(C11:N11)</f>
        <v>35666.666666666672</v>
      </c>
    </row>
    <row r="12" spans="1:16" x14ac:dyDescent="0.25">
      <c r="A12" s="57" t="s">
        <v>346</v>
      </c>
      <c r="B12" s="52" t="s">
        <v>113</v>
      </c>
      <c r="C12" s="58">
        <f t="shared" ref="C12:N12" si="2">C8+C11</f>
        <v>8800</v>
      </c>
      <c r="D12" s="58">
        <f t="shared" si="2"/>
        <v>9755.5555555555547</v>
      </c>
      <c r="E12" s="58">
        <f t="shared" si="2"/>
        <v>7716.666666666667</v>
      </c>
      <c r="F12" s="58">
        <f t="shared" si="2"/>
        <v>8347.2222222222226</v>
      </c>
      <c r="G12" s="58">
        <f t="shared" si="2"/>
        <v>8866.6666666666661</v>
      </c>
      <c r="H12" s="58">
        <f t="shared" si="2"/>
        <v>9794.4444444444453</v>
      </c>
      <c r="I12" s="58">
        <f t="shared" si="2"/>
        <v>10944.444444444445</v>
      </c>
      <c r="J12" s="58">
        <f t="shared" si="2"/>
        <v>11463.888888888889</v>
      </c>
      <c r="K12" s="58">
        <f t="shared" si="2"/>
        <v>13355.555555555555</v>
      </c>
      <c r="L12" s="58">
        <f t="shared" si="2"/>
        <v>13893.055555555555</v>
      </c>
      <c r="M12" s="58">
        <f t="shared" si="2"/>
        <v>15244.444444444445</v>
      </c>
      <c r="N12" s="58">
        <f t="shared" si="2"/>
        <v>14430.555555555557</v>
      </c>
      <c r="O12" s="54">
        <f>SUM(C12:N12)</f>
        <v>132612.5</v>
      </c>
    </row>
    <row r="13" spans="1:16" x14ac:dyDescent="0.25">
      <c r="A13" s="40" t="s">
        <v>347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x14ac:dyDescent="0.25">
      <c r="A14" s="8" t="s">
        <v>348</v>
      </c>
      <c r="B14" s="4" t="s">
        <v>113</v>
      </c>
      <c r="C14" s="20">
        <f>Assumptions!$C$12</f>
        <v>176</v>
      </c>
      <c r="D14" s="20">
        <f>Assumptions!$C$12</f>
        <v>176</v>
      </c>
      <c r="E14" s="20">
        <f>Assumptions!$C$12</f>
        <v>176</v>
      </c>
      <c r="F14" s="20">
        <f>Assumptions!$C$12</f>
        <v>176</v>
      </c>
      <c r="G14" s="20">
        <f>Assumptions!$C$12</f>
        <v>176</v>
      </c>
      <c r="H14" s="20">
        <f>Assumptions!$C$12</f>
        <v>176</v>
      </c>
      <c r="I14" s="20">
        <f>Assumptions!$C$12</f>
        <v>176</v>
      </c>
      <c r="J14" s="20">
        <f>Assumptions!$C$12</f>
        <v>176</v>
      </c>
      <c r="K14" s="20">
        <f>Assumptions!$C$12</f>
        <v>176</v>
      </c>
      <c r="L14" s="20">
        <f>Assumptions!$C$12</f>
        <v>176</v>
      </c>
      <c r="M14" s="20">
        <f>Assumptions!$C$12</f>
        <v>176</v>
      </c>
      <c r="N14" s="20">
        <f>Assumptions!$C$12</f>
        <v>176</v>
      </c>
      <c r="O14" s="42">
        <f t="shared" ref="O14:O22" si="3">AVERAGE(C14:N14)</f>
        <v>176</v>
      </c>
    </row>
    <row r="15" spans="1:16" x14ac:dyDescent="0.25">
      <c r="A15" s="8" t="s">
        <v>109</v>
      </c>
      <c r="B15" s="4" t="s">
        <v>100</v>
      </c>
      <c r="C15" s="21">
        <f>Assumptions!$C$11</f>
        <v>0.3</v>
      </c>
      <c r="D15" s="21">
        <f>Assumptions!$C$11</f>
        <v>0.3</v>
      </c>
      <c r="E15" s="21">
        <f>Assumptions!$C$11</f>
        <v>0.3</v>
      </c>
      <c r="F15" s="21">
        <f>Assumptions!$C$11</f>
        <v>0.3</v>
      </c>
      <c r="G15" s="21">
        <f>Assumptions!$C$11</f>
        <v>0.3</v>
      </c>
      <c r="H15" s="21">
        <f>Assumptions!$C$11</f>
        <v>0.3</v>
      </c>
      <c r="I15" s="21">
        <f>Assumptions!$C$11</f>
        <v>0.3</v>
      </c>
      <c r="J15" s="21">
        <f>Assumptions!$C$11</f>
        <v>0.3</v>
      </c>
      <c r="K15" s="21">
        <f>Assumptions!$C$11</f>
        <v>0.3</v>
      </c>
      <c r="L15" s="21">
        <f>Assumptions!$C$11</f>
        <v>0.3</v>
      </c>
      <c r="M15" s="21">
        <f>Assumptions!$C$11</f>
        <v>0.3</v>
      </c>
      <c r="N15" s="21">
        <f>Assumptions!$C$11</f>
        <v>0.3</v>
      </c>
      <c r="O15" s="46">
        <f t="shared" si="3"/>
        <v>0.29999999999999993</v>
      </c>
    </row>
    <row r="16" spans="1:16" x14ac:dyDescent="0.25">
      <c r="A16" s="8" t="s">
        <v>349</v>
      </c>
      <c r="B16" s="4" t="s">
        <v>113</v>
      </c>
      <c r="C16" s="64">
        <f t="shared" ref="C16:N16" si="4">C14*(1-C15)</f>
        <v>123.19999999999999</v>
      </c>
      <c r="D16" s="64">
        <f t="shared" si="4"/>
        <v>123.19999999999999</v>
      </c>
      <c r="E16" s="64">
        <f t="shared" si="4"/>
        <v>123.19999999999999</v>
      </c>
      <c r="F16" s="64">
        <f t="shared" si="4"/>
        <v>123.19999999999999</v>
      </c>
      <c r="G16" s="64">
        <f t="shared" si="4"/>
        <v>123.19999999999999</v>
      </c>
      <c r="H16" s="64">
        <f t="shared" si="4"/>
        <v>123.19999999999999</v>
      </c>
      <c r="I16" s="64">
        <f t="shared" si="4"/>
        <v>123.19999999999999</v>
      </c>
      <c r="J16" s="64">
        <f t="shared" si="4"/>
        <v>123.19999999999999</v>
      </c>
      <c r="K16" s="64">
        <f t="shared" si="4"/>
        <v>123.19999999999999</v>
      </c>
      <c r="L16" s="64">
        <f t="shared" si="4"/>
        <v>123.19999999999999</v>
      </c>
      <c r="M16" s="64">
        <f t="shared" si="4"/>
        <v>123.19999999999999</v>
      </c>
      <c r="N16" s="64">
        <f t="shared" si="4"/>
        <v>123.19999999999999</v>
      </c>
      <c r="O16" s="65">
        <f t="shared" si="3"/>
        <v>123.20000000000003</v>
      </c>
    </row>
    <row r="17" spans="1:16" x14ac:dyDescent="0.25">
      <c r="A17" s="8" t="s">
        <v>106</v>
      </c>
      <c r="B17" s="4" t="s">
        <v>100</v>
      </c>
      <c r="C17" s="21">
        <f>Assumptions!$C$10</f>
        <v>0.78</v>
      </c>
      <c r="D17" s="21">
        <f>Assumptions!$C$10</f>
        <v>0.78</v>
      </c>
      <c r="E17" s="21">
        <f>Assumptions!$C$10</f>
        <v>0.78</v>
      </c>
      <c r="F17" s="21">
        <f>Assumptions!$C$10</f>
        <v>0.78</v>
      </c>
      <c r="G17" s="21">
        <f>Assumptions!$C$10</f>
        <v>0.78</v>
      </c>
      <c r="H17" s="21">
        <f>Assumptions!$C$10</f>
        <v>0.78</v>
      </c>
      <c r="I17" s="21">
        <f>Assumptions!$C$10</f>
        <v>0.78</v>
      </c>
      <c r="J17" s="21">
        <f>Assumptions!$C$10</f>
        <v>0.78</v>
      </c>
      <c r="K17" s="21">
        <f>Assumptions!$C$10</f>
        <v>0.78</v>
      </c>
      <c r="L17" s="21">
        <f>Assumptions!$C$10</f>
        <v>0.78</v>
      </c>
      <c r="M17" s="21">
        <f>Assumptions!$C$10</f>
        <v>0.78</v>
      </c>
      <c r="N17" s="21">
        <f>Assumptions!$C$10</f>
        <v>0.78</v>
      </c>
      <c r="O17" s="46">
        <f t="shared" si="3"/>
        <v>0.78000000000000014</v>
      </c>
    </row>
    <row r="18" spans="1:16" x14ac:dyDescent="0.25">
      <c r="A18" s="8" t="s">
        <v>136</v>
      </c>
      <c r="B18" s="4" t="s">
        <v>100</v>
      </c>
      <c r="C18" s="21">
        <f>Assumptions!$C$20</f>
        <v>0.9</v>
      </c>
      <c r="D18" s="21">
        <f>Assumptions!$C$20</f>
        <v>0.9</v>
      </c>
      <c r="E18" s="21">
        <f>Assumptions!$C$20</f>
        <v>0.9</v>
      </c>
      <c r="F18" s="21">
        <f>Assumptions!$C$20</f>
        <v>0.9</v>
      </c>
      <c r="G18" s="21">
        <f>Assumptions!$C$20</f>
        <v>0.9</v>
      </c>
      <c r="H18" s="21">
        <f>Assumptions!$C$20</f>
        <v>0.9</v>
      </c>
      <c r="I18" s="21">
        <f>Assumptions!$C$20</f>
        <v>0.9</v>
      </c>
      <c r="J18" s="21">
        <f>Assumptions!$C$20</f>
        <v>0.9</v>
      </c>
      <c r="K18" s="21">
        <f>Assumptions!$C$20</f>
        <v>0.9</v>
      </c>
      <c r="L18" s="21">
        <f>Assumptions!$C$20</f>
        <v>0.9</v>
      </c>
      <c r="M18" s="21">
        <f>Assumptions!$C$20</f>
        <v>0.9</v>
      </c>
      <c r="N18" s="21">
        <f>Assumptions!$C$20</f>
        <v>0.9</v>
      </c>
      <c r="O18" s="46">
        <f t="shared" si="3"/>
        <v>0.90000000000000024</v>
      </c>
    </row>
    <row r="19" spans="1:16" x14ac:dyDescent="0.25">
      <c r="A19" s="47" t="s">
        <v>350</v>
      </c>
      <c r="B19" s="4" t="s">
        <v>113</v>
      </c>
      <c r="C19" s="66">
        <f t="shared" ref="C19:N19" si="5">C16*C17</f>
        <v>96.095999999999989</v>
      </c>
      <c r="D19" s="66">
        <f t="shared" si="5"/>
        <v>96.095999999999989</v>
      </c>
      <c r="E19" s="66">
        <f t="shared" si="5"/>
        <v>96.095999999999989</v>
      </c>
      <c r="F19" s="66">
        <f t="shared" si="5"/>
        <v>96.095999999999989</v>
      </c>
      <c r="G19" s="66">
        <f t="shared" si="5"/>
        <v>96.095999999999989</v>
      </c>
      <c r="H19" s="66">
        <f t="shared" si="5"/>
        <v>96.095999999999989</v>
      </c>
      <c r="I19" s="66">
        <f t="shared" si="5"/>
        <v>96.095999999999989</v>
      </c>
      <c r="J19" s="66">
        <f t="shared" si="5"/>
        <v>96.095999999999989</v>
      </c>
      <c r="K19" s="66">
        <f t="shared" si="5"/>
        <v>96.095999999999989</v>
      </c>
      <c r="L19" s="66">
        <f t="shared" si="5"/>
        <v>96.095999999999989</v>
      </c>
      <c r="M19" s="66">
        <f t="shared" si="5"/>
        <v>96.095999999999989</v>
      </c>
      <c r="N19" s="66">
        <f t="shared" si="5"/>
        <v>96.095999999999989</v>
      </c>
      <c r="O19" s="65">
        <f t="shared" si="3"/>
        <v>96.095999999999989</v>
      </c>
      <c r="P19" s="45" t="s">
        <v>351</v>
      </c>
    </row>
    <row r="20" spans="1:16" x14ac:dyDescent="0.25">
      <c r="A20" s="47" t="s">
        <v>352</v>
      </c>
      <c r="B20" s="4" t="s">
        <v>113</v>
      </c>
      <c r="C20" s="66">
        <f t="shared" ref="C20:N20" si="6">C16*C18</f>
        <v>110.88</v>
      </c>
      <c r="D20" s="66">
        <f t="shared" si="6"/>
        <v>110.88</v>
      </c>
      <c r="E20" s="66">
        <f t="shared" si="6"/>
        <v>110.88</v>
      </c>
      <c r="F20" s="66">
        <f t="shared" si="6"/>
        <v>110.88</v>
      </c>
      <c r="G20" s="66">
        <f t="shared" si="6"/>
        <v>110.88</v>
      </c>
      <c r="H20" s="66">
        <f t="shared" si="6"/>
        <v>110.88</v>
      </c>
      <c r="I20" s="66">
        <f t="shared" si="6"/>
        <v>110.88</v>
      </c>
      <c r="J20" s="66">
        <f t="shared" si="6"/>
        <v>110.88</v>
      </c>
      <c r="K20" s="66">
        <f t="shared" si="6"/>
        <v>110.88</v>
      </c>
      <c r="L20" s="66">
        <f t="shared" si="6"/>
        <v>110.88</v>
      </c>
      <c r="M20" s="66">
        <f t="shared" si="6"/>
        <v>110.88</v>
      </c>
      <c r="N20" s="66">
        <f t="shared" si="6"/>
        <v>110.88</v>
      </c>
      <c r="O20" s="65">
        <f t="shared" si="3"/>
        <v>110.88</v>
      </c>
      <c r="P20" s="45" t="s">
        <v>353</v>
      </c>
    </row>
    <row r="21" spans="1:16" x14ac:dyDescent="0.25">
      <c r="A21" s="8" t="s">
        <v>354</v>
      </c>
      <c r="B21" s="4" t="s">
        <v>355</v>
      </c>
      <c r="C21" s="56">
        <f t="shared" ref="C21:N21" si="7">C19*3600/C7</f>
        <v>4612.6079999999993</v>
      </c>
      <c r="D21" s="56">
        <f t="shared" si="7"/>
        <v>4612.6079999999993</v>
      </c>
      <c r="E21" s="56">
        <f t="shared" si="7"/>
        <v>4612.6079999999993</v>
      </c>
      <c r="F21" s="56">
        <f t="shared" si="7"/>
        <v>4612.6079999999993</v>
      </c>
      <c r="G21" s="56">
        <f t="shared" si="7"/>
        <v>4612.6079999999993</v>
      </c>
      <c r="H21" s="56">
        <f t="shared" si="7"/>
        <v>4612.6079999999993</v>
      </c>
      <c r="I21" s="56">
        <f t="shared" si="7"/>
        <v>4612.6079999999993</v>
      </c>
      <c r="J21" s="56">
        <f t="shared" si="7"/>
        <v>4612.6079999999993</v>
      </c>
      <c r="K21" s="56">
        <f t="shared" si="7"/>
        <v>4612.6079999999993</v>
      </c>
      <c r="L21" s="56">
        <f t="shared" si="7"/>
        <v>4612.6079999999993</v>
      </c>
      <c r="M21" s="56">
        <f t="shared" si="7"/>
        <v>4612.6079999999993</v>
      </c>
      <c r="N21" s="56">
        <f t="shared" si="7"/>
        <v>4612.6079999999993</v>
      </c>
      <c r="O21" s="42">
        <f t="shared" si="3"/>
        <v>4612.6079999999993</v>
      </c>
    </row>
    <row r="22" spans="1:16" x14ac:dyDescent="0.25">
      <c r="A22" s="8" t="s">
        <v>356</v>
      </c>
      <c r="B22" s="4" t="s">
        <v>357</v>
      </c>
      <c r="C22" s="56">
        <f t="shared" ref="C22:N22" si="8">C20*3600/C10</f>
        <v>9979.2000000000007</v>
      </c>
      <c r="D22" s="56">
        <f t="shared" si="8"/>
        <v>9979.2000000000007</v>
      </c>
      <c r="E22" s="56">
        <f t="shared" si="8"/>
        <v>9979.2000000000007</v>
      </c>
      <c r="F22" s="56">
        <f t="shared" si="8"/>
        <v>9979.2000000000007</v>
      </c>
      <c r="G22" s="56">
        <f t="shared" si="8"/>
        <v>9979.2000000000007</v>
      </c>
      <c r="H22" s="56">
        <f t="shared" si="8"/>
        <v>9979.2000000000007</v>
      </c>
      <c r="I22" s="56">
        <f t="shared" si="8"/>
        <v>9979.2000000000007</v>
      </c>
      <c r="J22" s="56">
        <f t="shared" si="8"/>
        <v>9979.2000000000007</v>
      </c>
      <c r="K22" s="56">
        <f t="shared" si="8"/>
        <v>9979.2000000000007</v>
      </c>
      <c r="L22" s="56">
        <f t="shared" si="8"/>
        <v>9979.2000000000007</v>
      </c>
      <c r="M22" s="56">
        <f t="shared" si="8"/>
        <v>9979.2000000000007</v>
      </c>
      <c r="N22" s="56">
        <f t="shared" si="8"/>
        <v>9979.2000000000007</v>
      </c>
      <c r="O22" s="42">
        <f t="shared" si="3"/>
        <v>9979.1999999999989</v>
      </c>
    </row>
    <row r="23" spans="1:16" x14ac:dyDescent="0.25">
      <c r="A23" s="40" t="s">
        <v>358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 x14ac:dyDescent="0.25">
      <c r="A24" s="8" t="s">
        <v>359</v>
      </c>
      <c r="B24" s="4" t="s">
        <v>100</v>
      </c>
      <c r="C24" s="21">
        <f>Assumptions!$C$21</f>
        <v>0.03</v>
      </c>
      <c r="D24" s="21">
        <f>Assumptions!$C$21</f>
        <v>0.03</v>
      </c>
      <c r="E24" s="21">
        <f>Assumptions!$C$21</f>
        <v>0.03</v>
      </c>
      <c r="F24" s="21">
        <f>Assumptions!$C$21</f>
        <v>0.03</v>
      </c>
      <c r="G24" s="21">
        <f>Assumptions!$C$21</f>
        <v>0.03</v>
      </c>
      <c r="H24" s="21">
        <f>Assumptions!$C$21</f>
        <v>0.03</v>
      </c>
      <c r="I24" s="21">
        <f>Assumptions!$C$21</f>
        <v>0.03</v>
      </c>
      <c r="J24" s="21">
        <f>Assumptions!$C$21</f>
        <v>0.03</v>
      </c>
      <c r="K24" s="21">
        <f>Assumptions!$C$21</f>
        <v>0.03</v>
      </c>
      <c r="L24" s="21">
        <f>Assumptions!$C$21</f>
        <v>0.03</v>
      </c>
      <c r="M24" s="21">
        <f>Assumptions!$C$21</f>
        <v>0.03</v>
      </c>
      <c r="N24" s="21">
        <f>Assumptions!$C$21</f>
        <v>0.03</v>
      </c>
      <c r="O24" s="46">
        <f>AVERAGE(C24:N24)</f>
        <v>3.0000000000000009E-2</v>
      </c>
    </row>
    <row r="25" spans="1:16" x14ac:dyDescent="0.25">
      <c r="A25" s="8" t="s">
        <v>360</v>
      </c>
      <c r="B25" s="4" t="s">
        <v>113</v>
      </c>
      <c r="C25" s="56">
        <f t="shared" ref="C25:N25" si="9">C12*C24</f>
        <v>264</v>
      </c>
      <c r="D25" s="56">
        <f t="shared" si="9"/>
        <v>292.66666666666663</v>
      </c>
      <c r="E25" s="56">
        <f t="shared" si="9"/>
        <v>231.5</v>
      </c>
      <c r="F25" s="56">
        <f t="shared" si="9"/>
        <v>250.41666666666666</v>
      </c>
      <c r="G25" s="56">
        <f t="shared" si="9"/>
        <v>266</v>
      </c>
      <c r="H25" s="56">
        <f t="shared" si="9"/>
        <v>293.83333333333337</v>
      </c>
      <c r="I25" s="56">
        <f t="shared" si="9"/>
        <v>328.33333333333337</v>
      </c>
      <c r="J25" s="56">
        <f t="shared" si="9"/>
        <v>343.91666666666663</v>
      </c>
      <c r="K25" s="56">
        <f t="shared" si="9"/>
        <v>400.66666666666663</v>
      </c>
      <c r="L25" s="56">
        <f t="shared" si="9"/>
        <v>416.79166666666663</v>
      </c>
      <c r="M25" s="56">
        <f t="shared" si="9"/>
        <v>457.33333333333331</v>
      </c>
      <c r="N25" s="56">
        <f t="shared" si="9"/>
        <v>432.91666666666669</v>
      </c>
      <c r="O25" s="42">
        <f>SUM(C25:N25)</f>
        <v>3978.3749999999995</v>
      </c>
      <c r="P25" s="45" t="s">
        <v>361</v>
      </c>
    </row>
    <row r="26" spans="1:16" x14ac:dyDescent="0.25">
      <c r="A26" s="8" t="s">
        <v>362</v>
      </c>
      <c r="B26" s="4" t="s">
        <v>113</v>
      </c>
      <c r="C26" s="56">
        <f t="shared" ref="C26:N26" si="10">C8*(1-C24)</f>
        <v>6272.666666666667</v>
      </c>
      <c r="D26" s="56">
        <f t="shared" si="10"/>
        <v>6984</v>
      </c>
      <c r="E26" s="56">
        <f t="shared" si="10"/>
        <v>5545.166666666667</v>
      </c>
      <c r="F26" s="56">
        <f t="shared" si="10"/>
        <v>5941.25</v>
      </c>
      <c r="G26" s="56">
        <f t="shared" si="10"/>
        <v>6337.333333333333</v>
      </c>
      <c r="H26" s="56">
        <f t="shared" si="10"/>
        <v>7129.5</v>
      </c>
      <c r="I26" s="56">
        <f t="shared" si="10"/>
        <v>7921.666666666667</v>
      </c>
      <c r="J26" s="56">
        <f t="shared" si="10"/>
        <v>8317.75</v>
      </c>
      <c r="K26" s="56">
        <f t="shared" si="10"/>
        <v>9506</v>
      </c>
      <c r="L26" s="56">
        <f t="shared" si="10"/>
        <v>9704.0416666666661</v>
      </c>
      <c r="M26" s="56">
        <f t="shared" si="10"/>
        <v>10476</v>
      </c>
      <c r="N26" s="56">
        <f t="shared" si="10"/>
        <v>9902.0833333333339</v>
      </c>
      <c r="O26" s="42">
        <f>SUM(C26:N26)</f>
        <v>94037.458333333328</v>
      </c>
    </row>
    <row r="27" spans="1:16" x14ac:dyDescent="0.25">
      <c r="A27" s="8" t="s">
        <v>363</v>
      </c>
      <c r="B27" s="4" t="s">
        <v>113</v>
      </c>
      <c r="C27" s="56">
        <f t="shared" ref="C27:N27" si="11">C11*(1-C24)</f>
        <v>2263.3333333333335</v>
      </c>
      <c r="D27" s="56">
        <f t="shared" si="11"/>
        <v>2478.8888888888891</v>
      </c>
      <c r="E27" s="56">
        <f t="shared" si="11"/>
        <v>1940</v>
      </c>
      <c r="F27" s="56">
        <f t="shared" si="11"/>
        <v>2155.5555555555557</v>
      </c>
      <c r="G27" s="56">
        <f t="shared" si="11"/>
        <v>2263.3333333333335</v>
      </c>
      <c r="H27" s="56">
        <f t="shared" si="11"/>
        <v>2371.1111111111109</v>
      </c>
      <c r="I27" s="56">
        <f t="shared" si="11"/>
        <v>2694.4444444444443</v>
      </c>
      <c r="J27" s="56">
        <f t="shared" si="11"/>
        <v>2802.2222222222222</v>
      </c>
      <c r="K27" s="56">
        <f t="shared" si="11"/>
        <v>3448.8888888888887</v>
      </c>
      <c r="L27" s="56">
        <f t="shared" si="11"/>
        <v>3772.2222222222217</v>
      </c>
      <c r="M27" s="56">
        <f t="shared" si="11"/>
        <v>4311.1111111111113</v>
      </c>
      <c r="N27" s="56">
        <f t="shared" si="11"/>
        <v>4095.5555555555557</v>
      </c>
      <c r="O27" s="42">
        <f>SUM(C27:N27)</f>
        <v>34596.666666666672</v>
      </c>
    </row>
    <row r="28" spans="1:16" x14ac:dyDescent="0.25">
      <c r="A28" s="40" t="s">
        <v>364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1:16" x14ac:dyDescent="0.25">
      <c r="A29" s="8" t="s">
        <v>365</v>
      </c>
      <c r="B29" s="4" t="s">
        <v>127</v>
      </c>
      <c r="C29" s="64">
        <f t="shared" ref="C29:N29" si="12">C26/C19</f>
        <v>65.27500277500279</v>
      </c>
      <c r="D29" s="64">
        <f t="shared" si="12"/>
        <v>72.677322677322692</v>
      </c>
      <c r="E29" s="64">
        <f t="shared" si="12"/>
        <v>57.70444832944834</v>
      </c>
      <c r="F29" s="64">
        <f t="shared" si="12"/>
        <v>61.826194638694645</v>
      </c>
      <c r="G29" s="64">
        <f t="shared" si="12"/>
        <v>65.94794094794095</v>
      </c>
      <c r="H29" s="64">
        <f t="shared" si="12"/>
        <v>74.191433566433574</v>
      </c>
      <c r="I29" s="64">
        <f t="shared" si="12"/>
        <v>82.434926184926198</v>
      </c>
      <c r="J29" s="64">
        <f t="shared" si="12"/>
        <v>86.556672494172503</v>
      </c>
      <c r="K29" s="64">
        <f t="shared" si="12"/>
        <v>98.921911421911432</v>
      </c>
      <c r="L29" s="64">
        <f t="shared" si="12"/>
        <v>100.98278457653458</v>
      </c>
      <c r="M29" s="64">
        <f t="shared" si="12"/>
        <v>109.01598401598403</v>
      </c>
      <c r="N29" s="64">
        <f t="shared" si="12"/>
        <v>103.04365773115775</v>
      </c>
      <c r="O29" s="65">
        <f>AVERAGE(C29:N29)</f>
        <v>81.54818994662746</v>
      </c>
    </row>
    <row r="30" spans="1:16" x14ac:dyDescent="0.25">
      <c r="A30" s="8" t="s">
        <v>366</v>
      </c>
      <c r="B30" s="4" t="s">
        <v>127</v>
      </c>
      <c r="C30" s="64">
        <f t="shared" ref="C30:N30" si="13">C27/C20</f>
        <v>20.412457912457914</v>
      </c>
      <c r="D30" s="64">
        <f t="shared" si="13"/>
        <v>22.356501523168195</v>
      </c>
      <c r="E30" s="64">
        <f t="shared" si="13"/>
        <v>17.496392496392499</v>
      </c>
      <c r="F30" s="64">
        <f t="shared" si="13"/>
        <v>19.440436107102776</v>
      </c>
      <c r="G30" s="64">
        <f t="shared" si="13"/>
        <v>20.412457912457914</v>
      </c>
      <c r="H30" s="64">
        <f t="shared" si="13"/>
        <v>21.384479717813051</v>
      </c>
      <c r="I30" s="64">
        <f t="shared" si="13"/>
        <v>24.300545133878469</v>
      </c>
      <c r="J30" s="64">
        <f t="shared" si="13"/>
        <v>25.272566939233606</v>
      </c>
      <c r="K30" s="64">
        <f t="shared" si="13"/>
        <v>31.104697771364439</v>
      </c>
      <c r="L30" s="64">
        <f t="shared" si="13"/>
        <v>34.02076318742985</v>
      </c>
      <c r="M30" s="64">
        <f t="shared" si="13"/>
        <v>38.880872214205553</v>
      </c>
      <c r="N30" s="64">
        <f t="shared" si="13"/>
        <v>36.936828603495272</v>
      </c>
      <c r="O30" s="65">
        <f>AVERAGE(C30:N30)</f>
        <v>26.001583293249961</v>
      </c>
    </row>
    <row r="31" spans="1:16" x14ac:dyDescent="0.25">
      <c r="A31" s="57" t="s">
        <v>367</v>
      </c>
      <c r="B31" s="52" t="s">
        <v>127</v>
      </c>
      <c r="C31" s="67">
        <f t="shared" ref="C31:N31" si="14">C29+C30</f>
        <v>85.6874606874607</v>
      </c>
      <c r="D31" s="67">
        <f t="shared" si="14"/>
        <v>95.033824200490884</v>
      </c>
      <c r="E31" s="67">
        <f t="shared" si="14"/>
        <v>75.200840825840842</v>
      </c>
      <c r="F31" s="67">
        <f t="shared" si="14"/>
        <v>81.266630745797414</v>
      </c>
      <c r="G31" s="67">
        <f t="shared" si="14"/>
        <v>86.36039886039886</v>
      </c>
      <c r="H31" s="67">
        <f t="shared" si="14"/>
        <v>95.575913284246624</v>
      </c>
      <c r="I31" s="67">
        <f t="shared" si="14"/>
        <v>106.73547131880467</v>
      </c>
      <c r="J31" s="67">
        <f t="shared" si="14"/>
        <v>111.82923943340612</v>
      </c>
      <c r="K31" s="67">
        <f t="shared" si="14"/>
        <v>130.02660919327587</v>
      </c>
      <c r="L31" s="67">
        <f t="shared" si="14"/>
        <v>135.00354776396443</v>
      </c>
      <c r="M31" s="67">
        <f t="shared" si="14"/>
        <v>147.8968562301896</v>
      </c>
      <c r="N31" s="67">
        <f t="shared" si="14"/>
        <v>139.98048633465302</v>
      </c>
      <c r="O31" s="68">
        <f>AVERAGE(C31:N31)</f>
        <v>107.54977323987742</v>
      </c>
    </row>
    <row r="32" spans="1:16" x14ac:dyDescent="0.25">
      <c r="A32" s="40" t="s">
        <v>368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</row>
    <row r="33" spans="1:16" x14ac:dyDescent="0.25">
      <c r="A33" s="8" t="s">
        <v>369</v>
      </c>
      <c r="B33" s="4" t="s">
        <v>127</v>
      </c>
      <c r="C33" s="64">
        <f>C31</f>
        <v>85.6874606874607</v>
      </c>
      <c r="D33" s="64">
        <f t="shared" ref="D33:N33" si="15">C36</f>
        <v>85.6874606874607</v>
      </c>
      <c r="E33" s="64">
        <f t="shared" si="15"/>
        <v>95.033824200490884</v>
      </c>
      <c r="F33" s="64">
        <f t="shared" si="15"/>
        <v>91.232471232471255</v>
      </c>
      <c r="G33" s="64">
        <f t="shared" si="15"/>
        <v>87.58317238317241</v>
      </c>
      <c r="H33" s="64">
        <f t="shared" si="15"/>
        <v>86.36039886039886</v>
      </c>
      <c r="I33" s="64">
        <f t="shared" si="15"/>
        <v>95.575913284246624</v>
      </c>
      <c r="J33" s="64">
        <f t="shared" si="15"/>
        <v>106.73547131880467</v>
      </c>
      <c r="K33" s="64">
        <f t="shared" si="15"/>
        <v>111.82923943340612</v>
      </c>
      <c r="L33" s="64">
        <f t="shared" si="15"/>
        <v>130.02660919327587</v>
      </c>
      <c r="M33" s="64">
        <f t="shared" si="15"/>
        <v>135.00354776396443</v>
      </c>
      <c r="N33" s="64">
        <f t="shared" si="15"/>
        <v>147.8968562301896</v>
      </c>
      <c r="O33" s="65">
        <f>C33</f>
        <v>85.6874606874607</v>
      </c>
      <c r="P33" s="45" t="s">
        <v>370</v>
      </c>
    </row>
    <row r="34" spans="1:16" x14ac:dyDescent="0.25">
      <c r="A34" s="8" t="s">
        <v>371</v>
      </c>
      <c r="B34" s="4" t="s">
        <v>127</v>
      </c>
      <c r="C34" s="64">
        <f>C33*Assumptions!$C$22</f>
        <v>3.4274984274984281</v>
      </c>
      <c r="D34" s="64">
        <f>D33*Assumptions!$C$22</f>
        <v>3.4274984274984281</v>
      </c>
      <c r="E34" s="64">
        <f>E33*Assumptions!$C$22</f>
        <v>3.8013529680196356</v>
      </c>
      <c r="F34" s="64">
        <f>F33*Assumptions!$C$22</f>
        <v>3.6492988492988503</v>
      </c>
      <c r="G34" s="64">
        <f>G33*Assumptions!$C$22</f>
        <v>3.5033268953268966</v>
      </c>
      <c r="H34" s="64">
        <f>H33*Assumptions!$C$22</f>
        <v>3.4544159544159543</v>
      </c>
      <c r="I34" s="64">
        <f>I33*Assumptions!$C$22</f>
        <v>3.8230365313698651</v>
      </c>
      <c r="J34" s="64">
        <f>J33*Assumptions!$C$22</f>
        <v>4.269418852752187</v>
      </c>
      <c r="K34" s="64">
        <f>K33*Assumptions!$C$22</f>
        <v>4.473169577336245</v>
      </c>
      <c r="L34" s="64">
        <f>L33*Assumptions!$C$22</f>
        <v>5.2010643677310346</v>
      </c>
      <c r="M34" s="64">
        <f>M33*Assumptions!$C$22</f>
        <v>5.4001419105585775</v>
      </c>
      <c r="N34" s="64">
        <f>N33*Assumptions!$C$22</f>
        <v>5.915874249207584</v>
      </c>
      <c r="O34" s="65">
        <f>SUM(C34:N34)</f>
        <v>50.346097011013676</v>
      </c>
    </row>
    <row r="35" spans="1:16" x14ac:dyDescent="0.25">
      <c r="A35" s="8" t="s">
        <v>372</v>
      </c>
      <c r="B35" s="4" t="s">
        <v>127</v>
      </c>
      <c r="C35" s="64">
        <f t="shared" ref="C35:N35" si="16">MAX(0,C31-(C33-C34))</f>
        <v>3.4274984274984348</v>
      </c>
      <c r="D35" s="64">
        <f t="shared" si="16"/>
        <v>12.773861940528619</v>
      </c>
      <c r="E35" s="64">
        <f t="shared" si="16"/>
        <v>0</v>
      </c>
      <c r="F35" s="64">
        <f t="shared" si="16"/>
        <v>0</v>
      </c>
      <c r="G35" s="64">
        <f t="shared" si="16"/>
        <v>2.2805533725533422</v>
      </c>
      <c r="H35" s="64">
        <f t="shared" si="16"/>
        <v>12.669930378263714</v>
      </c>
      <c r="I35" s="64">
        <f t="shared" si="16"/>
        <v>14.982594565927911</v>
      </c>
      <c r="J35" s="64">
        <f t="shared" si="16"/>
        <v>9.3631869673536272</v>
      </c>
      <c r="K35" s="64">
        <f t="shared" si="16"/>
        <v>22.670539337206009</v>
      </c>
      <c r="L35" s="64">
        <f t="shared" si="16"/>
        <v>10.178002938419596</v>
      </c>
      <c r="M35" s="64">
        <f t="shared" si="16"/>
        <v>18.293450376783738</v>
      </c>
      <c r="N35" s="64">
        <f t="shared" si="16"/>
        <v>0</v>
      </c>
      <c r="O35" s="65">
        <f>SUM(C35:N35)</f>
        <v>106.63961830453499</v>
      </c>
      <c r="P35" s="45" t="s">
        <v>373</v>
      </c>
    </row>
    <row r="36" spans="1:16" x14ac:dyDescent="0.25">
      <c r="A36" s="57" t="s">
        <v>374</v>
      </c>
      <c r="B36" s="52" t="s">
        <v>127</v>
      </c>
      <c r="C36" s="67">
        <f t="shared" ref="C36:N36" si="17">C33-C34+C35</f>
        <v>85.6874606874607</v>
      </c>
      <c r="D36" s="67">
        <f t="shared" si="17"/>
        <v>95.033824200490884</v>
      </c>
      <c r="E36" s="67">
        <f t="shared" si="17"/>
        <v>91.232471232471255</v>
      </c>
      <c r="F36" s="67">
        <f t="shared" si="17"/>
        <v>87.58317238317241</v>
      </c>
      <c r="G36" s="67">
        <f t="shared" si="17"/>
        <v>86.36039886039886</v>
      </c>
      <c r="H36" s="67">
        <f t="shared" si="17"/>
        <v>95.575913284246624</v>
      </c>
      <c r="I36" s="67">
        <f t="shared" si="17"/>
        <v>106.73547131880467</v>
      </c>
      <c r="J36" s="67">
        <f t="shared" si="17"/>
        <v>111.82923943340612</v>
      </c>
      <c r="K36" s="67">
        <f t="shared" si="17"/>
        <v>130.02660919327587</v>
      </c>
      <c r="L36" s="67">
        <f t="shared" si="17"/>
        <v>135.00354776396443</v>
      </c>
      <c r="M36" s="67">
        <f t="shared" si="17"/>
        <v>147.8968562301896</v>
      </c>
      <c r="N36" s="67">
        <f t="shared" si="17"/>
        <v>141.98098198098202</v>
      </c>
      <c r="O36" s="68">
        <f>AVERAGE(C36:N36)</f>
        <v>109.57882888073863</v>
      </c>
    </row>
    <row r="37" spans="1:16" x14ac:dyDescent="0.25">
      <c r="A37" s="8" t="s">
        <v>375</v>
      </c>
      <c r="B37" s="4" t="s">
        <v>127</v>
      </c>
      <c r="C37" s="64">
        <f t="shared" ref="C37:N37" si="18">C36-C31</f>
        <v>0</v>
      </c>
      <c r="D37" s="64">
        <f t="shared" si="18"/>
        <v>0</v>
      </c>
      <c r="E37" s="64">
        <f t="shared" si="18"/>
        <v>16.031630406630413</v>
      </c>
      <c r="F37" s="64">
        <f t="shared" si="18"/>
        <v>6.3165416373749963</v>
      </c>
      <c r="G37" s="64">
        <f t="shared" si="18"/>
        <v>0</v>
      </c>
      <c r="H37" s="64">
        <f t="shared" si="18"/>
        <v>0</v>
      </c>
      <c r="I37" s="64">
        <f t="shared" si="18"/>
        <v>0</v>
      </c>
      <c r="J37" s="64">
        <f t="shared" si="18"/>
        <v>0</v>
      </c>
      <c r="K37" s="64">
        <f t="shared" si="18"/>
        <v>0</v>
      </c>
      <c r="L37" s="64">
        <f t="shared" si="18"/>
        <v>0</v>
      </c>
      <c r="M37" s="64">
        <f t="shared" si="18"/>
        <v>0</v>
      </c>
      <c r="N37" s="64">
        <f t="shared" si="18"/>
        <v>2.000495646329</v>
      </c>
      <c r="O37" s="65">
        <f>AVERAGE(C37:N37)</f>
        <v>2.0290556408612006</v>
      </c>
      <c r="P37" s="45" t="s">
        <v>376</v>
      </c>
    </row>
    <row r="38" spans="1:16" x14ac:dyDescent="0.25">
      <c r="A38" s="8" t="s">
        <v>377</v>
      </c>
      <c r="B38" s="4" t="s">
        <v>127</v>
      </c>
      <c r="C38" s="64">
        <f>C35*Assumptions!$C$23</f>
        <v>1.7137492137492174</v>
      </c>
      <c r="D38" s="64">
        <f>D35*Assumptions!$C$23</f>
        <v>6.3869309702643093</v>
      </c>
      <c r="E38" s="64">
        <f>E35*Assumptions!$C$23</f>
        <v>0</v>
      </c>
      <c r="F38" s="64">
        <f>F35*Assumptions!$C$23</f>
        <v>0</v>
      </c>
      <c r="G38" s="64">
        <f>G35*Assumptions!$C$23</f>
        <v>1.1402766862766711</v>
      </c>
      <c r="H38" s="64">
        <f>H35*Assumptions!$C$23</f>
        <v>6.3349651891318572</v>
      </c>
      <c r="I38" s="64">
        <f>I35*Assumptions!$C$23</f>
        <v>7.4912972829639557</v>
      </c>
      <c r="J38" s="64">
        <f>J35*Assumptions!$C$23</f>
        <v>4.6815934836768136</v>
      </c>
      <c r="K38" s="64">
        <f>K35*Assumptions!$C$23</f>
        <v>11.335269668603004</v>
      </c>
      <c r="L38" s="64">
        <f>L35*Assumptions!$C$23</f>
        <v>5.0890014692097978</v>
      </c>
      <c r="M38" s="64">
        <f>M35*Assumptions!$C$23</f>
        <v>9.1467251883918692</v>
      </c>
      <c r="N38" s="64">
        <f>N35*Assumptions!$C$23</f>
        <v>0</v>
      </c>
      <c r="O38" s="65">
        <f>AVERAGE(C38:N38)</f>
        <v>4.4433174293556243</v>
      </c>
    </row>
    <row r="39" spans="1:16" x14ac:dyDescent="0.25">
      <c r="A39" s="8" t="s">
        <v>378</v>
      </c>
      <c r="B39" s="4" t="s">
        <v>100</v>
      </c>
      <c r="C39" s="55">
        <f t="shared" ref="C39:O39" si="19">C31/C36</f>
        <v>1</v>
      </c>
      <c r="D39" s="55">
        <f t="shared" si="19"/>
        <v>1</v>
      </c>
      <c r="E39" s="55">
        <f t="shared" si="19"/>
        <v>0.82427714398111718</v>
      </c>
      <c r="F39" s="55">
        <f t="shared" si="19"/>
        <v>0.92787950623961857</v>
      </c>
      <c r="G39" s="55">
        <f t="shared" si="19"/>
        <v>1</v>
      </c>
      <c r="H39" s="55">
        <f t="shared" si="19"/>
        <v>1</v>
      </c>
      <c r="I39" s="55">
        <f t="shared" si="19"/>
        <v>1</v>
      </c>
      <c r="J39" s="55">
        <f t="shared" si="19"/>
        <v>1</v>
      </c>
      <c r="K39" s="55">
        <f t="shared" si="19"/>
        <v>1</v>
      </c>
      <c r="L39" s="55">
        <f t="shared" si="19"/>
        <v>1</v>
      </c>
      <c r="M39" s="55">
        <f t="shared" si="19"/>
        <v>1</v>
      </c>
      <c r="N39" s="55">
        <f t="shared" si="19"/>
        <v>0.98591011543646767</v>
      </c>
      <c r="O39" s="46">
        <f t="shared" si="19"/>
        <v>0.98148314175661111</v>
      </c>
    </row>
    <row r="40" spans="1:16" x14ac:dyDescent="0.25">
      <c r="A40" s="40" t="s">
        <v>379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16" x14ac:dyDescent="0.25">
      <c r="A41" s="8" t="s">
        <v>380</v>
      </c>
      <c r="B41" s="4" t="s">
        <v>381</v>
      </c>
      <c r="C41" s="56">
        <f>ROUNDUP(C36/Assumptions!$C$13,0)</f>
        <v>6</v>
      </c>
      <c r="D41" s="56">
        <f>MAX(C41,ROUNDUP(D36/Assumptions!$C$13,0))</f>
        <v>7</v>
      </c>
      <c r="E41" s="56">
        <f>MAX(D41,ROUNDUP(E36/Assumptions!$C$13,0))</f>
        <v>7</v>
      </c>
      <c r="F41" s="56">
        <f>MAX(E41,ROUNDUP(F36/Assumptions!$C$13,0))</f>
        <v>7</v>
      </c>
      <c r="G41" s="56">
        <f>MAX(F41,ROUNDUP(G36/Assumptions!$C$13,0))</f>
        <v>7</v>
      </c>
      <c r="H41" s="56">
        <f>MAX(G41,ROUNDUP(H36/Assumptions!$C$13,0))</f>
        <v>7</v>
      </c>
      <c r="I41" s="56">
        <f>MAX(H41,ROUNDUP(I36/Assumptions!$C$13,0))</f>
        <v>8</v>
      </c>
      <c r="J41" s="56">
        <f>MAX(I41,ROUNDUP(J36/Assumptions!$C$13,0))</f>
        <v>8</v>
      </c>
      <c r="K41" s="56">
        <f>MAX(J41,ROUNDUP(K36/Assumptions!$C$13,0))</f>
        <v>9</v>
      </c>
      <c r="L41" s="56">
        <f>MAX(K41,ROUNDUP(L36/Assumptions!$C$13,0))</f>
        <v>10</v>
      </c>
      <c r="M41" s="56">
        <f>MAX(L41,ROUNDUP(M36/Assumptions!$C$13,0))</f>
        <v>10</v>
      </c>
      <c r="N41" s="56">
        <f>MAX(M41,ROUNDUP(N36/Assumptions!$C$13,0))</f>
        <v>10</v>
      </c>
      <c r="O41" s="65">
        <f t="shared" ref="O41:O52" si="20">AVERAGE(C41:N41)</f>
        <v>8</v>
      </c>
      <c r="P41" s="45" t="s">
        <v>382</v>
      </c>
    </row>
    <row r="42" spans="1:16" x14ac:dyDescent="0.25">
      <c r="A42" s="8" t="s">
        <v>383</v>
      </c>
      <c r="B42" s="4" t="s">
        <v>381</v>
      </c>
      <c r="C42" s="56">
        <f>ROUNDUP(C41/Assumptions!$C$14,0)</f>
        <v>1</v>
      </c>
      <c r="D42" s="56">
        <f>MAX(C42,ROUNDUP(D41/Assumptions!$C$14,0))</f>
        <v>2</v>
      </c>
      <c r="E42" s="56">
        <f>MAX(D42,ROUNDUP(E41/Assumptions!$C$14,0))</f>
        <v>2</v>
      </c>
      <c r="F42" s="56">
        <f>MAX(E42,ROUNDUP(F41/Assumptions!$C$14,0))</f>
        <v>2</v>
      </c>
      <c r="G42" s="56">
        <f>MAX(F42,ROUNDUP(G41/Assumptions!$C$14,0))</f>
        <v>2</v>
      </c>
      <c r="H42" s="56">
        <f>MAX(G42,ROUNDUP(H41/Assumptions!$C$14,0))</f>
        <v>2</v>
      </c>
      <c r="I42" s="56">
        <f>MAX(H42,ROUNDUP(I41/Assumptions!$C$14,0))</f>
        <v>2</v>
      </c>
      <c r="J42" s="56">
        <f>MAX(I42,ROUNDUP(J41/Assumptions!$C$14,0))</f>
        <v>2</v>
      </c>
      <c r="K42" s="56">
        <f>MAX(J42,ROUNDUP(K41/Assumptions!$C$14,0))</f>
        <v>2</v>
      </c>
      <c r="L42" s="56">
        <f>MAX(K42,ROUNDUP(L41/Assumptions!$C$14,0))</f>
        <v>2</v>
      </c>
      <c r="M42" s="56">
        <f>MAX(L42,ROUNDUP(M41/Assumptions!$C$14,0))</f>
        <v>2</v>
      </c>
      <c r="N42" s="56">
        <f>MAX(M42,ROUNDUP(N41/Assumptions!$C$14,0))</f>
        <v>2</v>
      </c>
      <c r="O42" s="65">
        <f t="shared" si="20"/>
        <v>1.9166666666666667</v>
      </c>
    </row>
    <row r="43" spans="1:16" x14ac:dyDescent="0.25">
      <c r="A43" s="8" t="s">
        <v>384</v>
      </c>
      <c r="B43" s="4" t="s">
        <v>381</v>
      </c>
      <c r="C43" s="56">
        <f>ROUNDUP(C36/Assumptions!$C$15,0)</f>
        <v>3</v>
      </c>
      <c r="D43" s="56">
        <f>MAX(C43,ROUNDUP(D36/Assumptions!$C$15,0))</f>
        <v>3</v>
      </c>
      <c r="E43" s="56">
        <f>MAX(D43,ROUNDUP(E36/Assumptions!$C$15,0))</f>
        <v>3</v>
      </c>
      <c r="F43" s="56">
        <f>MAX(E43,ROUNDUP(F36/Assumptions!$C$15,0))</f>
        <v>3</v>
      </c>
      <c r="G43" s="56">
        <f>MAX(F43,ROUNDUP(G36/Assumptions!$C$15,0))</f>
        <v>3</v>
      </c>
      <c r="H43" s="56">
        <f>MAX(G43,ROUNDUP(H36/Assumptions!$C$15,0))</f>
        <v>3</v>
      </c>
      <c r="I43" s="56">
        <f>MAX(H43,ROUNDUP(I36/Assumptions!$C$15,0))</f>
        <v>3</v>
      </c>
      <c r="J43" s="56">
        <f>MAX(I43,ROUNDUP(J36/Assumptions!$C$15,0))</f>
        <v>3</v>
      </c>
      <c r="K43" s="56">
        <f>MAX(J43,ROUNDUP(K36/Assumptions!$C$15,0))</f>
        <v>4</v>
      </c>
      <c r="L43" s="56">
        <f>MAX(K43,ROUNDUP(L36/Assumptions!$C$15,0))</f>
        <v>4</v>
      </c>
      <c r="M43" s="56">
        <f>MAX(L43,ROUNDUP(M36/Assumptions!$C$15,0))</f>
        <v>4</v>
      </c>
      <c r="N43" s="56">
        <f>MAX(M43,ROUNDUP(N36/Assumptions!$C$15,0))</f>
        <v>4</v>
      </c>
      <c r="O43" s="65">
        <f t="shared" si="20"/>
        <v>3.3333333333333335</v>
      </c>
    </row>
    <row r="44" spans="1:16" x14ac:dyDescent="0.25">
      <c r="A44" s="8" t="s">
        <v>385</v>
      </c>
      <c r="B44" s="4" t="s">
        <v>381</v>
      </c>
      <c r="C44" s="56">
        <f>ROUNDUP(C36/Assumptions!$C$24,0)</f>
        <v>2</v>
      </c>
      <c r="D44" s="56">
        <f>MAX(C44,ROUNDUP(D36/Assumptions!$C$24,0))</f>
        <v>2</v>
      </c>
      <c r="E44" s="56">
        <f>MAX(D44,ROUNDUP(E36/Assumptions!$C$24,0))</f>
        <v>2</v>
      </c>
      <c r="F44" s="56">
        <f>MAX(E44,ROUNDUP(F36/Assumptions!$C$24,0))</f>
        <v>2</v>
      </c>
      <c r="G44" s="56">
        <f>MAX(F44,ROUNDUP(G36/Assumptions!$C$24,0))</f>
        <v>2</v>
      </c>
      <c r="H44" s="56">
        <f>MAX(G44,ROUNDUP(H36/Assumptions!$C$24,0))</f>
        <v>2</v>
      </c>
      <c r="I44" s="56">
        <f>MAX(H44,ROUNDUP(I36/Assumptions!$C$24,0))</f>
        <v>2</v>
      </c>
      <c r="J44" s="56">
        <f>MAX(I44,ROUNDUP(J36/Assumptions!$C$24,0))</f>
        <v>2</v>
      </c>
      <c r="K44" s="56">
        <f>MAX(J44,ROUNDUP(K36/Assumptions!$C$24,0))</f>
        <v>2</v>
      </c>
      <c r="L44" s="56">
        <f>MAX(K44,ROUNDUP(L36/Assumptions!$C$24,0))</f>
        <v>2</v>
      </c>
      <c r="M44" s="56">
        <f>MAX(L44,ROUNDUP(M36/Assumptions!$C$24,0))</f>
        <v>2</v>
      </c>
      <c r="N44" s="56">
        <f>MAX(M44,ROUNDUP(N36/Assumptions!$C$24,0))</f>
        <v>2</v>
      </c>
      <c r="O44" s="65">
        <f t="shared" si="20"/>
        <v>2</v>
      </c>
    </row>
    <row r="45" spans="1:16" x14ac:dyDescent="0.25">
      <c r="A45" s="8" t="s">
        <v>386</v>
      </c>
      <c r="B45" s="4" t="s">
        <v>381</v>
      </c>
      <c r="C45" s="56">
        <f>ROUNDUP(C36/Assumptions!$C$25,0)</f>
        <v>2</v>
      </c>
      <c r="D45" s="56">
        <f>MAX(C45,ROUNDUP(D36/Assumptions!$C$25,0))</f>
        <v>2</v>
      </c>
      <c r="E45" s="56">
        <f>MAX(D45,ROUNDUP(E36/Assumptions!$C$25,0))</f>
        <v>2</v>
      </c>
      <c r="F45" s="56">
        <f>MAX(E45,ROUNDUP(F36/Assumptions!$C$25,0))</f>
        <v>2</v>
      </c>
      <c r="G45" s="56">
        <f>MAX(F45,ROUNDUP(G36/Assumptions!$C$25,0))</f>
        <v>2</v>
      </c>
      <c r="H45" s="56">
        <f>MAX(G45,ROUNDUP(H36/Assumptions!$C$25,0))</f>
        <v>2</v>
      </c>
      <c r="I45" s="56">
        <f>MAX(H45,ROUNDUP(I36/Assumptions!$C$25,0))</f>
        <v>2</v>
      </c>
      <c r="J45" s="56">
        <f>MAX(I45,ROUNDUP(J36/Assumptions!$C$25,0))</f>
        <v>2</v>
      </c>
      <c r="K45" s="56">
        <f>MAX(J45,ROUNDUP(K36/Assumptions!$C$25,0))</f>
        <v>3</v>
      </c>
      <c r="L45" s="56">
        <f>MAX(K45,ROUNDUP(L36/Assumptions!$C$25,0))</f>
        <v>3</v>
      </c>
      <c r="M45" s="56">
        <f>MAX(L45,ROUNDUP(M36/Assumptions!$C$25,0))</f>
        <v>3</v>
      </c>
      <c r="N45" s="56">
        <f>MAX(M45,ROUNDUP(N36/Assumptions!$C$25,0))</f>
        <v>3</v>
      </c>
      <c r="O45" s="65">
        <f t="shared" si="20"/>
        <v>2.3333333333333335</v>
      </c>
    </row>
    <row r="46" spans="1:16" x14ac:dyDescent="0.25">
      <c r="A46" s="8" t="s">
        <v>387</v>
      </c>
      <c r="B46" s="4" t="s">
        <v>381</v>
      </c>
      <c r="C46" s="56">
        <f>ROUNDUP(C36/Assumptions!$C$26,0)</f>
        <v>2</v>
      </c>
      <c r="D46" s="56">
        <f>MAX(C46,ROUNDUP(D36/Assumptions!$C$26,0))</f>
        <v>2</v>
      </c>
      <c r="E46" s="56">
        <f>MAX(D46,ROUNDUP(E36/Assumptions!$C$26,0))</f>
        <v>2</v>
      </c>
      <c r="F46" s="56">
        <f>MAX(E46,ROUNDUP(F36/Assumptions!$C$26,0))</f>
        <v>2</v>
      </c>
      <c r="G46" s="56">
        <f>MAX(F46,ROUNDUP(G36/Assumptions!$C$26,0))</f>
        <v>2</v>
      </c>
      <c r="H46" s="56">
        <f>MAX(G46,ROUNDUP(H36/Assumptions!$C$26,0))</f>
        <v>2</v>
      </c>
      <c r="I46" s="56">
        <f>MAX(H46,ROUNDUP(I36/Assumptions!$C$26,0))</f>
        <v>2</v>
      </c>
      <c r="J46" s="56">
        <f>MAX(I46,ROUNDUP(J36/Assumptions!$C$26,0))</f>
        <v>2</v>
      </c>
      <c r="K46" s="56">
        <f>MAX(J46,ROUNDUP(K36/Assumptions!$C$26,0))</f>
        <v>2</v>
      </c>
      <c r="L46" s="56">
        <f>MAX(K46,ROUNDUP(L36/Assumptions!$C$26,0))</f>
        <v>2</v>
      </c>
      <c r="M46" s="56">
        <f>MAX(L46,ROUNDUP(M36/Assumptions!$C$26,0))</f>
        <v>2</v>
      </c>
      <c r="N46" s="56">
        <f>MAX(M46,ROUNDUP(N36/Assumptions!$C$26,0))</f>
        <v>2</v>
      </c>
      <c r="O46" s="65">
        <f t="shared" si="20"/>
        <v>2</v>
      </c>
    </row>
    <row r="47" spans="1:16" x14ac:dyDescent="0.25">
      <c r="A47" s="8" t="s">
        <v>388</v>
      </c>
      <c r="B47" s="4" t="s">
        <v>381</v>
      </c>
      <c r="C47" s="56">
        <f>ROUNDUP(C36/Assumptions!$C$27,0)</f>
        <v>2</v>
      </c>
      <c r="D47" s="56">
        <f>MAX(C47,ROUNDUP(D36/Assumptions!$C$27,0))</f>
        <v>2</v>
      </c>
      <c r="E47" s="56">
        <f>MAX(D47,ROUNDUP(E36/Assumptions!$C$27,0))</f>
        <v>2</v>
      </c>
      <c r="F47" s="56">
        <f>MAX(E47,ROUNDUP(F36/Assumptions!$C$27,0))</f>
        <v>2</v>
      </c>
      <c r="G47" s="56">
        <f>MAX(F47,ROUNDUP(G36/Assumptions!$C$27,0))</f>
        <v>2</v>
      </c>
      <c r="H47" s="56">
        <f>MAX(G47,ROUNDUP(H36/Assumptions!$C$27,0))</f>
        <v>2</v>
      </c>
      <c r="I47" s="56">
        <f>MAX(H47,ROUNDUP(I36/Assumptions!$C$27,0))</f>
        <v>2</v>
      </c>
      <c r="J47" s="56">
        <f>MAX(I47,ROUNDUP(J36/Assumptions!$C$27,0))</f>
        <v>2</v>
      </c>
      <c r="K47" s="56">
        <f>MAX(J47,ROUNDUP(K36/Assumptions!$C$27,0))</f>
        <v>2</v>
      </c>
      <c r="L47" s="56">
        <f>MAX(K47,ROUNDUP(L36/Assumptions!$C$27,0))</f>
        <v>2</v>
      </c>
      <c r="M47" s="56">
        <f>MAX(L47,ROUNDUP(M36/Assumptions!$C$27,0))</f>
        <v>2</v>
      </c>
      <c r="N47" s="56">
        <f>MAX(M47,ROUNDUP(N36/Assumptions!$C$27,0))</f>
        <v>2</v>
      </c>
      <c r="O47" s="65">
        <f t="shared" si="20"/>
        <v>2</v>
      </c>
    </row>
    <row r="48" spans="1:16" x14ac:dyDescent="0.25">
      <c r="A48" s="8" t="s">
        <v>126</v>
      </c>
      <c r="B48" s="4" t="s">
        <v>381</v>
      </c>
      <c r="C48" s="20">
        <f>Assumptions!$C$16</f>
        <v>1</v>
      </c>
      <c r="D48" s="20">
        <f>Assumptions!$C$16</f>
        <v>1</v>
      </c>
      <c r="E48" s="20">
        <f>Assumptions!$C$16</f>
        <v>1</v>
      </c>
      <c r="F48" s="20">
        <f>Assumptions!$C$16</f>
        <v>1</v>
      </c>
      <c r="G48" s="20">
        <f>Assumptions!$C$16</f>
        <v>1</v>
      </c>
      <c r="H48" s="20">
        <f>Assumptions!$C$16</f>
        <v>1</v>
      </c>
      <c r="I48" s="20">
        <f>Assumptions!$C$16</f>
        <v>1</v>
      </c>
      <c r="J48" s="20">
        <f>Assumptions!$C$16</f>
        <v>1</v>
      </c>
      <c r="K48" s="20">
        <f>Assumptions!$C$16</f>
        <v>1</v>
      </c>
      <c r="L48" s="20">
        <f>Assumptions!$C$16</f>
        <v>1</v>
      </c>
      <c r="M48" s="20">
        <f>Assumptions!$C$16</f>
        <v>1</v>
      </c>
      <c r="N48" s="20">
        <f>Assumptions!$C$16</f>
        <v>1</v>
      </c>
      <c r="O48" s="65">
        <f t="shared" si="20"/>
        <v>1</v>
      </c>
    </row>
    <row r="49" spans="1:16" x14ac:dyDescent="0.25">
      <c r="A49" s="8" t="s">
        <v>130</v>
      </c>
      <c r="B49" s="4" t="s">
        <v>381</v>
      </c>
      <c r="C49" s="20">
        <f>Assumptions!$C$17</f>
        <v>1</v>
      </c>
      <c r="D49" s="20">
        <f>Assumptions!$C$17</f>
        <v>1</v>
      </c>
      <c r="E49" s="20">
        <f>Assumptions!$C$17</f>
        <v>1</v>
      </c>
      <c r="F49" s="20">
        <f>Assumptions!$C$17</f>
        <v>1</v>
      </c>
      <c r="G49" s="20">
        <f>Assumptions!$C$17</f>
        <v>1</v>
      </c>
      <c r="H49" s="20">
        <f>Assumptions!$C$17</f>
        <v>1</v>
      </c>
      <c r="I49" s="20">
        <f>Assumptions!$C$17</f>
        <v>1</v>
      </c>
      <c r="J49" s="20">
        <f>Assumptions!$C$17</f>
        <v>1</v>
      </c>
      <c r="K49" s="20">
        <f>Assumptions!$C$17</f>
        <v>1</v>
      </c>
      <c r="L49" s="20">
        <f>Assumptions!$C$17</f>
        <v>1</v>
      </c>
      <c r="M49" s="20">
        <f>Assumptions!$C$17</f>
        <v>1</v>
      </c>
      <c r="N49" s="20">
        <f>Assumptions!$C$17</f>
        <v>1</v>
      </c>
      <c r="O49" s="65">
        <f t="shared" si="20"/>
        <v>1</v>
      </c>
    </row>
    <row r="50" spans="1:16" x14ac:dyDescent="0.25">
      <c r="A50" s="8" t="s">
        <v>389</v>
      </c>
      <c r="B50" s="4" t="s">
        <v>381</v>
      </c>
      <c r="C50" s="20">
        <f>Assumptions!$C$28</f>
        <v>2</v>
      </c>
      <c r="D50" s="20">
        <f>Assumptions!$C$28</f>
        <v>2</v>
      </c>
      <c r="E50" s="20">
        <f>Assumptions!$C$28</f>
        <v>2</v>
      </c>
      <c r="F50" s="20">
        <f>Assumptions!$C$28</f>
        <v>2</v>
      </c>
      <c r="G50" s="20">
        <f>Assumptions!$C$28</f>
        <v>2</v>
      </c>
      <c r="H50" s="20">
        <f>Assumptions!$C$28</f>
        <v>2</v>
      </c>
      <c r="I50" s="20">
        <f>Assumptions!$C$28</f>
        <v>2</v>
      </c>
      <c r="J50" s="20">
        <f>Assumptions!$C$28</f>
        <v>2</v>
      </c>
      <c r="K50" s="20">
        <f>Assumptions!$C$28</f>
        <v>2</v>
      </c>
      <c r="L50" s="20">
        <f>Assumptions!$C$28</f>
        <v>2</v>
      </c>
      <c r="M50" s="20">
        <f>Assumptions!$C$28</f>
        <v>2</v>
      </c>
      <c r="N50" s="20">
        <f>Assumptions!$C$28</f>
        <v>2</v>
      </c>
      <c r="O50" s="65">
        <f t="shared" si="20"/>
        <v>2</v>
      </c>
    </row>
    <row r="51" spans="1:16" x14ac:dyDescent="0.25">
      <c r="A51" s="57" t="s">
        <v>390</v>
      </c>
      <c r="B51" s="52" t="s">
        <v>381</v>
      </c>
      <c r="C51" s="58">
        <f t="shared" ref="C51:N51" si="21">SUM(C41:C50)</f>
        <v>22</v>
      </c>
      <c r="D51" s="58">
        <f t="shared" si="21"/>
        <v>24</v>
      </c>
      <c r="E51" s="58">
        <f t="shared" si="21"/>
        <v>24</v>
      </c>
      <c r="F51" s="58">
        <f t="shared" si="21"/>
        <v>24</v>
      </c>
      <c r="G51" s="58">
        <f t="shared" si="21"/>
        <v>24</v>
      </c>
      <c r="H51" s="58">
        <f t="shared" si="21"/>
        <v>24</v>
      </c>
      <c r="I51" s="58">
        <f t="shared" si="21"/>
        <v>25</v>
      </c>
      <c r="J51" s="58">
        <f t="shared" si="21"/>
        <v>25</v>
      </c>
      <c r="K51" s="58">
        <f t="shared" si="21"/>
        <v>28</v>
      </c>
      <c r="L51" s="58">
        <f t="shared" si="21"/>
        <v>29</v>
      </c>
      <c r="M51" s="58">
        <f t="shared" si="21"/>
        <v>29</v>
      </c>
      <c r="N51" s="58">
        <f t="shared" si="21"/>
        <v>29</v>
      </c>
      <c r="O51" s="68">
        <f t="shared" si="20"/>
        <v>25.583333333333332</v>
      </c>
    </row>
    <row r="52" spans="1:16" x14ac:dyDescent="0.25">
      <c r="A52" s="59" t="s">
        <v>391</v>
      </c>
      <c r="B52" s="60" t="s">
        <v>127</v>
      </c>
      <c r="C52" s="69">
        <f t="shared" ref="C52:N52" si="22">C36+C51</f>
        <v>107.6874606874607</v>
      </c>
      <c r="D52" s="69">
        <f t="shared" si="22"/>
        <v>119.03382420049088</v>
      </c>
      <c r="E52" s="69">
        <f t="shared" si="22"/>
        <v>115.23247123247126</v>
      </c>
      <c r="F52" s="69">
        <f t="shared" si="22"/>
        <v>111.58317238317241</v>
      </c>
      <c r="G52" s="69">
        <f t="shared" si="22"/>
        <v>110.36039886039886</v>
      </c>
      <c r="H52" s="69">
        <f t="shared" si="22"/>
        <v>119.57591328424662</v>
      </c>
      <c r="I52" s="69">
        <f t="shared" si="22"/>
        <v>131.73547131880468</v>
      </c>
      <c r="J52" s="69">
        <f t="shared" si="22"/>
        <v>136.82923943340612</v>
      </c>
      <c r="K52" s="69">
        <f t="shared" si="22"/>
        <v>158.02660919327587</v>
      </c>
      <c r="L52" s="69">
        <f t="shared" si="22"/>
        <v>164.00354776396443</v>
      </c>
      <c r="M52" s="69">
        <f t="shared" si="22"/>
        <v>176.8968562301896</v>
      </c>
      <c r="N52" s="69">
        <f t="shared" si="22"/>
        <v>170.98098198098202</v>
      </c>
      <c r="O52" s="70">
        <f t="shared" si="20"/>
        <v>135.16216221407197</v>
      </c>
    </row>
    <row r="53" spans="1:16" x14ac:dyDescent="0.25">
      <c r="A53" s="8" t="s">
        <v>392</v>
      </c>
      <c r="B53" s="4" t="s">
        <v>291</v>
      </c>
      <c r="C53" s="64">
        <f t="shared" ref="C53:O53" si="23">C36/C51</f>
        <v>3.8948845767027591</v>
      </c>
      <c r="D53" s="64">
        <f t="shared" si="23"/>
        <v>3.9597426750204536</v>
      </c>
      <c r="E53" s="64">
        <f t="shared" si="23"/>
        <v>3.8013529680196356</v>
      </c>
      <c r="F53" s="64">
        <f t="shared" si="23"/>
        <v>3.6492988492988503</v>
      </c>
      <c r="G53" s="64">
        <f t="shared" si="23"/>
        <v>3.5983499525166192</v>
      </c>
      <c r="H53" s="64">
        <f t="shared" si="23"/>
        <v>3.9823297201769425</v>
      </c>
      <c r="I53" s="64">
        <f t="shared" si="23"/>
        <v>4.269418852752187</v>
      </c>
      <c r="J53" s="64">
        <f t="shared" si="23"/>
        <v>4.473169577336245</v>
      </c>
      <c r="K53" s="64">
        <f t="shared" si="23"/>
        <v>4.6438074711884241</v>
      </c>
      <c r="L53" s="64">
        <f t="shared" si="23"/>
        <v>4.6552947504815325</v>
      </c>
      <c r="M53" s="64">
        <f t="shared" si="23"/>
        <v>5.0998915941444691</v>
      </c>
      <c r="N53" s="64">
        <f t="shared" si="23"/>
        <v>4.8958959303786909</v>
      </c>
      <c r="O53" s="65">
        <f t="shared" si="23"/>
        <v>4.2832115523415748</v>
      </c>
    </row>
    <row r="54" spans="1:16" x14ac:dyDescent="0.25">
      <c r="A54" s="40" t="s">
        <v>393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x14ac:dyDescent="0.25">
      <c r="A55" s="8" t="s">
        <v>394</v>
      </c>
      <c r="B55" s="4" t="s">
        <v>395</v>
      </c>
      <c r="C55" s="64">
        <f>C36/Assumptions!$C$29</f>
        <v>57.124973791640464</v>
      </c>
      <c r="D55" s="64">
        <f>D36/Assumptions!$C$29</f>
        <v>63.355882800327258</v>
      </c>
      <c r="E55" s="64">
        <f>E36/Assumptions!$C$29</f>
        <v>60.82164748831417</v>
      </c>
      <c r="F55" s="64">
        <f>F36/Assumptions!$C$29</f>
        <v>58.388781588781605</v>
      </c>
      <c r="G55" s="64">
        <f>G36/Assumptions!$C$29</f>
        <v>57.573599240265906</v>
      </c>
      <c r="H55" s="64">
        <f>H36/Assumptions!$C$29</f>
        <v>63.717275522831081</v>
      </c>
      <c r="I55" s="64">
        <f>I36/Assumptions!$C$29</f>
        <v>71.156980879203118</v>
      </c>
      <c r="J55" s="64">
        <f>J36/Assumptions!$C$29</f>
        <v>74.55282628893741</v>
      </c>
      <c r="K55" s="64">
        <f>K36/Assumptions!$C$29</f>
        <v>86.684406128850583</v>
      </c>
      <c r="L55" s="64">
        <f>L36/Assumptions!$C$29</f>
        <v>90.002365175976294</v>
      </c>
      <c r="M55" s="64">
        <f>M36/Assumptions!$C$29</f>
        <v>98.597904153459737</v>
      </c>
      <c r="N55" s="64">
        <f>N36/Assumptions!$C$29</f>
        <v>94.653987987321344</v>
      </c>
      <c r="O55" s="65">
        <f>AVERAGE(C55:N55)</f>
        <v>73.05255258715907</v>
      </c>
    </row>
    <row r="56" spans="1:16" x14ac:dyDescent="0.25">
      <c r="A56" s="8" t="s">
        <v>396</v>
      </c>
      <c r="B56" s="4" t="s">
        <v>395</v>
      </c>
      <c r="C56" s="56">
        <f t="shared" ref="C56:N56" si="24">C51</f>
        <v>22</v>
      </c>
      <c r="D56" s="56">
        <f t="shared" si="24"/>
        <v>24</v>
      </c>
      <c r="E56" s="56">
        <f t="shared" si="24"/>
        <v>24</v>
      </c>
      <c r="F56" s="56">
        <f t="shared" si="24"/>
        <v>24</v>
      </c>
      <c r="G56" s="56">
        <f t="shared" si="24"/>
        <v>24</v>
      </c>
      <c r="H56" s="56">
        <f t="shared" si="24"/>
        <v>24</v>
      </c>
      <c r="I56" s="56">
        <f t="shared" si="24"/>
        <v>25</v>
      </c>
      <c r="J56" s="56">
        <f t="shared" si="24"/>
        <v>25</v>
      </c>
      <c r="K56" s="56">
        <f t="shared" si="24"/>
        <v>28</v>
      </c>
      <c r="L56" s="56">
        <f t="shared" si="24"/>
        <v>29</v>
      </c>
      <c r="M56" s="56">
        <f t="shared" si="24"/>
        <v>29</v>
      </c>
      <c r="N56" s="56">
        <f t="shared" si="24"/>
        <v>29</v>
      </c>
      <c r="O56" s="42">
        <f>AVERAGE(C56:N56)</f>
        <v>25.583333333333332</v>
      </c>
    </row>
    <row r="57" spans="1:16" x14ac:dyDescent="0.25">
      <c r="A57" s="47" t="s">
        <v>397</v>
      </c>
      <c r="B57" s="4" t="s">
        <v>395</v>
      </c>
      <c r="C57" s="48">
        <f t="shared" ref="C57:N57" si="25">ROUNDUP(C55+C56,0)</f>
        <v>80</v>
      </c>
      <c r="D57" s="48">
        <f t="shared" si="25"/>
        <v>88</v>
      </c>
      <c r="E57" s="48">
        <f t="shared" si="25"/>
        <v>85</v>
      </c>
      <c r="F57" s="48">
        <f t="shared" si="25"/>
        <v>83</v>
      </c>
      <c r="G57" s="48">
        <f t="shared" si="25"/>
        <v>82</v>
      </c>
      <c r="H57" s="48">
        <f t="shared" si="25"/>
        <v>88</v>
      </c>
      <c r="I57" s="48">
        <f t="shared" si="25"/>
        <v>97</v>
      </c>
      <c r="J57" s="48">
        <f t="shared" si="25"/>
        <v>100</v>
      </c>
      <c r="K57" s="48">
        <f t="shared" si="25"/>
        <v>115</v>
      </c>
      <c r="L57" s="48">
        <f t="shared" si="25"/>
        <v>120</v>
      </c>
      <c r="M57" s="48">
        <f t="shared" si="25"/>
        <v>128</v>
      </c>
      <c r="N57" s="48">
        <f t="shared" si="25"/>
        <v>124</v>
      </c>
      <c r="O57" s="42">
        <f>MAX(C57:N57)</f>
        <v>128</v>
      </c>
    </row>
    <row r="58" spans="1:16" x14ac:dyDescent="0.25">
      <c r="A58" s="8" t="s">
        <v>398</v>
      </c>
      <c r="B58" s="4" t="s">
        <v>395</v>
      </c>
      <c r="C58" s="56">
        <f>ROUNDUP(MAX($C$57:$N$57)*(1+Assumptions!$C$30),0)</f>
        <v>141</v>
      </c>
      <c r="D58" s="56">
        <f>ROUNDUP(MAX($C$57:$N$57)*(1+Assumptions!$C$30),0)</f>
        <v>141</v>
      </c>
      <c r="E58" s="56">
        <f>ROUNDUP(MAX($C$57:$N$57)*(1+Assumptions!$C$30),0)</f>
        <v>141</v>
      </c>
      <c r="F58" s="56">
        <f>ROUNDUP(MAX($C$57:$N$57)*(1+Assumptions!$C$30),0)</f>
        <v>141</v>
      </c>
      <c r="G58" s="56">
        <f>ROUNDUP(MAX($C$57:$N$57)*(1+Assumptions!$C$30),0)</f>
        <v>141</v>
      </c>
      <c r="H58" s="56">
        <f>ROUNDUP(MAX($C$57:$N$57)*(1+Assumptions!$C$30),0)</f>
        <v>141</v>
      </c>
      <c r="I58" s="56">
        <f>ROUNDUP(MAX($C$57:$N$57)*(1+Assumptions!$C$30),0)</f>
        <v>141</v>
      </c>
      <c r="J58" s="56">
        <f>ROUNDUP(MAX($C$57:$N$57)*(1+Assumptions!$C$30),0)</f>
        <v>141</v>
      </c>
      <c r="K58" s="56">
        <f>ROUNDUP(MAX($C$57:$N$57)*(1+Assumptions!$C$30),0)</f>
        <v>141</v>
      </c>
      <c r="L58" s="56">
        <f>ROUNDUP(MAX($C$57:$N$57)*(1+Assumptions!$C$30),0)</f>
        <v>141</v>
      </c>
      <c r="M58" s="56">
        <f>ROUNDUP(MAX($C$57:$N$57)*(1+Assumptions!$C$30),0)</f>
        <v>141</v>
      </c>
      <c r="N58" s="56">
        <f>ROUNDUP(MAX($C$57:$N$57)*(1+Assumptions!$C$30),0)</f>
        <v>141</v>
      </c>
      <c r="O58" s="42">
        <f>AVERAGE(C58:N58)</f>
        <v>141</v>
      </c>
    </row>
    <row r="59" spans="1:16" x14ac:dyDescent="0.25">
      <c r="A59" s="8" t="s">
        <v>399</v>
      </c>
      <c r="B59" s="4" t="s">
        <v>100</v>
      </c>
      <c r="C59" s="55">
        <f t="shared" ref="C59:N59" si="26">C57/C58</f>
        <v>0.56737588652482274</v>
      </c>
      <c r="D59" s="55">
        <f t="shared" si="26"/>
        <v>0.62411347517730498</v>
      </c>
      <c r="E59" s="55">
        <f t="shared" si="26"/>
        <v>0.6028368794326241</v>
      </c>
      <c r="F59" s="55">
        <f t="shared" si="26"/>
        <v>0.58865248226950351</v>
      </c>
      <c r="G59" s="55">
        <f t="shared" si="26"/>
        <v>0.58156028368794321</v>
      </c>
      <c r="H59" s="55">
        <f t="shared" si="26"/>
        <v>0.62411347517730498</v>
      </c>
      <c r="I59" s="55">
        <f t="shared" si="26"/>
        <v>0.68794326241134751</v>
      </c>
      <c r="J59" s="55">
        <f t="shared" si="26"/>
        <v>0.70921985815602839</v>
      </c>
      <c r="K59" s="55">
        <f t="shared" si="26"/>
        <v>0.81560283687943258</v>
      </c>
      <c r="L59" s="55">
        <f t="shared" si="26"/>
        <v>0.85106382978723405</v>
      </c>
      <c r="M59" s="55">
        <f t="shared" si="26"/>
        <v>0.90780141843971629</v>
      </c>
      <c r="N59" s="55">
        <f t="shared" si="26"/>
        <v>0.87943262411347523</v>
      </c>
      <c r="O59" s="46">
        <f>AVERAGE(C59:N59)</f>
        <v>0.70330969267139476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AH43"/>
  <sheetViews>
    <sheetView showGridLines="0" topLeftCell="A16" zoomScaleNormal="100" workbookViewId="0"/>
  </sheetViews>
  <sheetFormatPr defaultColWidth="8.7109375" defaultRowHeight="15" x14ac:dyDescent="0.25"/>
  <cols>
    <col min="1" max="1" width="2" customWidth="1"/>
    <col min="2" max="2" width="50" customWidth="1"/>
    <col min="3" max="3" width="14" customWidth="1"/>
    <col min="4" max="8" width="12" customWidth="1"/>
    <col min="9" max="9" width="2" customWidth="1"/>
    <col min="10" max="34" width="5" customWidth="1"/>
  </cols>
  <sheetData>
    <row r="1" spans="1:34" ht="18" x14ac:dyDescent="0.25">
      <c r="A1" s="13" t="s">
        <v>400</v>
      </c>
    </row>
    <row r="2" spans="1:34" x14ac:dyDescent="0.25">
      <c r="A2" s="4" t="s">
        <v>401</v>
      </c>
    </row>
    <row r="5" spans="1:34" x14ac:dyDescent="0.25">
      <c r="B5" s="14" t="s">
        <v>402</v>
      </c>
      <c r="C5" s="71" t="s">
        <v>78</v>
      </c>
    </row>
    <row r="6" spans="1:34" x14ac:dyDescent="0.25">
      <c r="B6" s="14" t="s">
        <v>403</v>
      </c>
      <c r="C6" s="56">
        <f>INDEX(Topline_ExC!$C$13:$N$13,MATCH($C$5,Topline_ExC!$C$4:$N$4,0))</f>
        <v>518400</v>
      </c>
    </row>
    <row r="7" spans="1:34" x14ac:dyDescent="0.25">
      <c r="B7" s="14" t="s">
        <v>302</v>
      </c>
      <c r="C7" s="56">
        <f>INDEX(Topline_ExC!$C$7:$N$7,MATCH($C$5,Topline_ExC!$C$4:$N$4,0))</f>
        <v>30</v>
      </c>
    </row>
    <row r="8" spans="1:34" x14ac:dyDescent="0.25">
      <c r="B8" s="14" t="s">
        <v>404</v>
      </c>
      <c r="C8" s="56">
        <f>C6/C7</f>
        <v>17280</v>
      </c>
    </row>
    <row r="9" spans="1:34" x14ac:dyDescent="0.25">
      <c r="B9" s="14" t="s">
        <v>405</v>
      </c>
      <c r="C9" s="20">
        <f>Assumptions!$C$6</f>
        <v>75</v>
      </c>
    </row>
    <row r="10" spans="1:34" x14ac:dyDescent="0.25">
      <c r="B10" s="14" t="s">
        <v>406</v>
      </c>
      <c r="C10" s="21">
        <f>Assumptions!$C$8</f>
        <v>0.8</v>
      </c>
    </row>
    <row r="11" spans="1:34" x14ac:dyDescent="0.25">
      <c r="B11" s="14" t="s">
        <v>407</v>
      </c>
      <c r="C11" s="20">
        <f>Assumptions!$C$9</f>
        <v>20</v>
      </c>
    </row>
    <row r="13" spans="1:34" x14ac:dyDescent="0.25">
      <c r="J13" s="45" t="s">
        <v>408</v>
      </c>
    </row>
    <row r="14" spans="1:34" ht="30" customHeight="1" x14ac:dyDescent="0.25">
      <c r="B14" s="72" t="s">
        <v>409</v>
      </c>
      <c r="C14" s="72" t="s">
        <v>410</v>
      </c>
      <c r="D14" s="72" t="s">
        <v>411</v>
      </c>
      <c r="E14" s="72" t="s">
        <v>412</v>
      </c>
      <c r="F14" s="72" t="s">
        <v>413</v>
      </c>
      <c r="G14" s="72" t="s">
        <v>414</v>
      </c>
      <c r="H14" s="72" t="s">
        <v>415</v>
      </c>
      <c r="J14" s="73">
        <v>1</v>
      </c>
      <c r="K14" s="73">
        <v>2</v>
      </c>
      <c r="L14" s="73">
        <v>3</v>
      </c>
      <c r="M14" s="73">
        <v>4</v>
      </c>
      <c r="N14" s="73">
        <v>5</v>
      </c>
      <c r="O14" s="73">
        <v>6</v>
      </c>
      <c r="P14" s="73">
        <v>7</v>
      </c>
      <c r="Q14" s="73">
        <v>8</v>
      </c>
      <c r="R14" s="73">
        <v>9</v>
      </c>
      <c r="S14" s="73">
        <v>10</v>
      </c>
      <c r="T14" s="73">
        <v>11</v>
      </c>
      <c r="U14" s="73">
        <v>12</v>
      </c>
      <c r="V14" s="73">
        <v>13</v>
      </c>
      <c r="W14" s="73">
        <v>14</v>
      </c>
      <c r="X14" s="73">
        <v>15</v>
      </c>
      <c r="Y14" s="73">
        <v>16</v>
      </c>
      <c r="Z14" s="73">
        <v>17</v>
      </c>
      <c r="AA14" s="73">
        <v>18</v>
      </c>
      <c r="AB14" s="73">
        <v>19</v>
      </c>
      <c r="AC14" s="73">
        <v>20</v>
      </c>
      <c r="AD14" s="73">
        <v>21</v>
      </c>
      <c r="AE14" s="73">
        <v>22</v>
      </c>
      <c r="AF14" s="73">
        <v>23</v>
      </c>
      <c r="AG14" s="73">
        <v>24</v>
      </c>
      <c r="AH14" s="73">
        <v>25</v>
      </c>
    </row>
    <row r="15" spans="1:34" x14ac:dyDescent="0.25">
      <c r="B15" s="14" t="s">
        <v>416</v>
      </c>
      <c r="C15" s="30">
        <v>0.04</v>
      </c>
      <c r="D15" s="56">
        <f t="shared" ref="D15:D30" si="0">$C$8*C15</f>
        <v>691.2</v>
      </c>
      <c r="E15" s="64">
        <f t="shared" ref="E15:E30" si="1">D15*$C$9/3600</f>
        <v>14.4</v>
      </c>
      <c r="F15" s="48">
        <f t="shared" ref="F15:F30" si="2">MIN(J15:AH15)</f>
        <v>18</v>
      </c>
      <c r="G15" s="55">
        <f t="shared" ref="G15:G30" si="3">1-POISSON(F15,E15,FALSE())/(POISSON(F15,E15,FALSE())+(1-E15/F15)*POISSON(F15-1,E15,TRUE()))*EXP(-(F15-E15)*$C$11/$C$9)</f>
        <v>0.89318809738169169</v>
      </c>
      <c r="H15" s="55">
        <f t="shared" ref="H15:H31" si="4">E15/F15</f>
        <v>0.8</v>
      </c>
      <c r="J15" s="74">
        <f t="shared" ref="J15:S24" si="5">IF(1-POISSON((ROUNDUP($E15,0)+J$14),$E15,FALSE())/(POISSON((ROUNDUP($E15,0)+J$14),$E15,FALSE())+(1-$E15/(ROUNDUP($E15,0)+J$14))*POISSON((ROUNDUP($E15,0)+J$14)-1,$E15,TRUE()))*EXP(-((ROUNDUP($E15,0)+J$14)-$E15)*$C$11/$C$9)&gt;=$C$10,(ROUNDUP($E15,0)+J$14),9999)</f>
        <v>9999</v>
      </c>
      <c r="K15" s="74">
        <f t="shared" si="5"/>
        <v>9999</v>
      </c>
      <c r="L15" s="74">
        <f t="shared" si="5"/>
        <v>18</v>
      </c>
      <c r="M15" s="74">
        <f t="shared" si="5"/>
        <v>19</v>
      </c>
      <c r="N15" s="74">
        <f t="shared" si="5"/>
        <v>20</v>
      </c>
      <c r="O15" s="74">
        <f t="shared" si="5"/>
        <v>21</v>
      </c>
      <c r="P15" s="74">
        <f t="shared" si="5"/>
        <v>22</v>
      </c>
      <c r="Q15" s="74">
        <f t="shared" si="5"/>
        <v>23</v>
      </c>
      <c r="R15" s="74">
        <f t="shared" si="5"/>
        <v>24</v>
      </c>
      <c r="S15" s="74">
        <f t="shared" si="5"/>
        <v>25</v>
      </c>
      <c r="T15" s="74">
        <f t="shared" ref="T15:AH24" si="6">IF(1-POISSON((ROUNDUP($E15,0)+T$14),$E15,FALSE())/(POISSON((ROUNDUP($E15,0)+T$14),$E15,FALSE())+(1-$E15/(ROUNDUP($E15,0)+T$14))*POISSON((ROUNDUP($E15,0)+T$14)-1,$E15,TRUE()))*EXP(-((ROUNDUP($E15,0)+T$14)-$E15)*$C$11/$C$9)&gt;=$C$10,(ROUNDUP($E15,0)+T$14),9999)</f>
        <v>26</v>
      </c>
      <c r="U15" s="74">
        <f t="shared" si="6"/>
        <v>27</v>
      </c>
      <c r="V15" s="74">
        <f t="shared" si="6"/>
        <v>28</v>
      </c>
      <c r="W15" s="74">
        <f t="shared" si="6"/>
        <v>29</v>
      </c>
      <c r="X15" s="74">
        <f t="shared" si="6"/>
        <v>30</v>
      </c>
      <c r="Y15" s="74">
        <f t="shared" si="6"/>
        <v>31</v>
      </c>
      <c r="Z15" s="74">
        <f t="shared" si="6"/>
        <v>32</v>
      </c>
      <c r="AA15" s="74">
        <f t="shared" si="6"/>
        <v>33</v>
      </c>
      <c r="AB15" s="74">
        <f t="shared" si="6"/>
        <v>34</v>
      </c>
      <c r="AC15" s="74">
        <f t="shared" si="6"/>
        <v>35</v>
      </c>
      <c r="AD15" s="74">
        <f t="shared" si="6"/>
        <v>36</v>
      </c>
      <c r="AE15" s="74">
        <f t="shared" si="6"/>
        <v>37</v>
      </c>
      <c r="AF15" s="74">
        <f t="shared" si="6"/>
        <v>38</v>
      </c>
      <c r="AG15" s="74">
        <f t="shared" si="6"/>
        <v>39</v>
      </c>
      <c r="AH15" s="74">
        <f t="shared" si="6"/>
        <v>40</v>
      </c>
    </row>
    <row r="16" spans="1:34" x14ac:dyDescent="0.25">
      <c r="B16" s="14" t="s">
        <v>417</v>
      </c>
      <c r="C16" s="30">
        <v>0.05</v>
      </c>
      <c r="D16" s="56">
        <f t="shared" si="0"/>
        <v>864</v>
      </c>
      <c r="E16" s="64">
        <f t="shared" si="1"/>
        <v>18</v>
      </c>
      <c r="F16" s="48">
        <f t="shared" si="2"/>
        <v>21</v>
      </c>
      <c r="G16" s="55">
        <f t="shared" si="3"/>
        <v>0.82212345363186956</v>
      </c>
      <c r="H16" s="55">
        <f t="shared" si="4"/>
        <v>0.8571428571428571</v>
      </c>
      <c r="J16" s="74">
        <f t="shared" si="5"/>
        <v>9999</v>
      </c>
      <c r="K16" s="74">
        <f t="shared" si="5"/>
        <v>9999</v>
      </c>
      <c r="L16" s="74">
        <f t="shared" si="5"/>
        <v>21</v>
      </c>
      <c r="M16" s="74">
        <f t="shared" si="5"/>
        <v>22</v>
      </c>
      <c r="N16" s="74">
        <f t="shared" si="5"/>
        <v>23</v>
      </c>
      <c r="O16" s="74">
        <f t="shared" si="5"/>
        <v>24</v>
      </c>
      <c r="P16" s="74">
        <f t="shared" si="5"/>
        <v>25</v>
      </c>
      <c r="Q16" s="74">
        <f t="shared" si="5"/>
        <v>26</v>
      </c>
      <c r="R16" s="74">
        <f t="shared" si="5"/>
        <v>27</v>
      </c>
      <c r="S16" s="74">
        <f t="shared" si="5"/>
        <v>28</v>
      </c>
      <c r="T16" s="74">
        <f t="shared" si="6"/>
        <v>29</v>
      </c>
      <c r="U16" s="74">
        <f t="shared" si="6"/>
        <v>30</v>
      </c>
      <c r="V16" s="74">
        <f t="shared" si="6"/>
        <v>31</v>
      </c>
      <c r="W16" s="74">
        <f t="shared" si="6"/>
        <v>32</v>
      </c>
      <c r="X16" s="74">
        <f t="shared" si="6"/>
        <v>33</v>
      </c>
      <c r="Y16" s="74">
        <f t="shared" si="6"/>
        <v>34</v>
      </c>
      <c r="Z16" s="74">
        <f t="shared" si="6"/>
        <v>35</v>
      </c>
      <c r="AA16" s="74">
        <f t="shared" si="6"/>
        <v>36</v>
      </c>
      <c r="AB16" s="74">
        <f t="shared" si="6"/>
        <v>37</v>
      </c>
      <c r="AC16" s="74">
        <f t="shared" si="6"/>
        <v>38</v>
      </c>
      <c r="AD16" s="74">
        <f t="shared" si="6"/>
        <v>39</v>
      </c>
      <c r="AE16" s="74">
        <f t="shared" si="6"/>
        <v>40</v>
      </c>
      <c r="AF16" s="74">
        <f t="shared" si="6"/>
        <v>41</v>
      </c>
      <c r="AG16" s="74">
        <f t="shared" si="6"/>
        <v>42</v>
      </c>
      <c r="AH16" s="74">
        <f t="shared" si="6"/>
        <v>43</v>
      </c>
    </row>
    <row r="17" spans="2:34" x14ac:dyDescent="0.25">
      <c r="B17" s="14" t="s">
        <v>418</v>
      </c>
      <c r="C17" s="30">
        <v>6.5000000000000002E-2</v>
      </c>
      <c r="D17" s="56">
        <f t="shared" si="0"/>
        <v>1123.2</v>
      </c>
      <c r="E17" s="64">
        <f t="shared" si="1"/>
        <v>23.4</v>
      </c>
      <c r="F17" s="48">
        <f t="shared" si="2"/>
        <v>27</v>
      </c>
      <c r="G17" s="55">
        <f t="shared" si="3"/>
        <v>0.85772559228479939</v>
      </c>
      <c r="H17" s="55">
        <f t="shared" si="4"/>
        <v>0.86666666666666659</v>
      </c>
      <c r="J17" s="74">
        <f t="shared" si="5"/>
        <v>9999</v>
      </c>
      <c r="K17" s="74">
        <f t="shared" si="5"/>
        <v>9999</v>
      </c>
      <c r="L17" s="74">
        <f t="shared" si="5"/>
        <v>27</v>
      </c>
      <c r="M17" s="74">
        <f t="shared" si="5"/>
        <v>28</v>
      </c>
      <c r="N17" s="74">
        <f t="shared" si="5"/>
        <v>29</v>
      </c>
      <c r="O17" s="74">
        <f t="shared" si="5"/>
        <v>30</v>
      </c>
      <c r="P17" s="74">
        <f t="shared" si="5"/>
        <v>31</v>
      </c>
      <c r="Q17" s="74">
        <f t="shared" si="5"/>
        <v>32</v>
      </c>
      <c r="R17" s="74">
        <f t="shared" si="5"/>
        <v>33</v>
      </c>
      <c r="S17" s="74">
        <f t="shared" si="5"/>
        <v>34</v>
      </c>
      <c r="T17" s="74">
        <f t="shared" si="6"/>
        <v>35</v>
      </c>
      <c r="U17" s="74">
        <f t="shared" si="6"/>
        <v>36</v>
      </c>
      <c r="V17" s="74">
        <f t="shared" si="6"/>
        <v>37</v>
      </c>
      <c r="W17" s="74">
        <f t="shared" si="6"/>
        <v>38</v>
      </c>
      <c r="X17" s="74">
        <f t="shared" si="6"/>
        <v>39</v>
      </c>
      <c r="Y17" s="74">
        <f t="shared" si="6"/>
        <v>40</v>
      </c>
      <c r="Z17" s="74">
        <f t="shared" si="6"/>
        <v>41</v>
      </c>
      <c r="AA17" s="74">
        <f t="shared" si="6"/>
        <v>42</v>
      </c>
      <c r="AB17" s="74">
        <f t="shared" si="6"/>
        <v>43</v>
      </c>
      <c r="AC17" s="74">
        <f t="shared" si="6"/>
        <v>44</v>
      </c>
      <c r="AD17" s="74">
        <f t="shared" si="6"/>
        <v>45</v>
      </c>
      <c r="AE17" s="74">
        <f t="shared" si="6"/>
        <v>46</v>
      </c>
      <c r="AF17" s="74">
        <f t="shared" si="6"/>
        <v>47</v>
      </c>
      <c r="AG17" s="74">
        <f t="shared" si="6"/>
        <v>48</v>
      </c>
      <c r="AH17" s="74">
        <f t="shared" si="6"/>
        <v>49</v>
      </c>
    </row>
    <row r="18" spans="2:34" x14ac:dyDescent="0.25">
      <c r="B18" s="14" t="s">
        <v>419</v>
      </c>
      <c r="C18" s="30">
        <v>7.0000000000000007E-2</v>
      </c>
      <c r="D18" s="56">
        <f t="shared" si="0"/>
        <v>1209.6000000000001</v>
      </c>
      <c r="E18" s="64">
        <f t="shared" si="1"/>
        <v>25.200000000000003</v>
      </c>
      <c r="F18" s="48">
        <f t="shared" si="2"/>
        <v>29</v>
      </c>
      <c r="G18" s="55">
        <f t="shared" si="3"/>
        <v>0.86797914698545287</v>
      </c>
      <c r="H18" s="55">
        <f t="shared" si="4"/>
        <v>0.86896551724137938</v>
      </c>
      <c r="J18" s="74">
        <f t="shared" si="5"/>
        <v>9999</v>
      </c>
      <c r="K18" s="74">
        <f t="shared" si="5"/>
        <v>9999</v>
      </c>
      <c r="L18" s="74">
        <f t="shared" si="5"/>
        <v>29</v>
      </c>
      <c r="M18" s="74">
        <f t="shared" si="5"/>
        <v>30</v>
      </c>
      <c r="N18" s="74">
        <f t="shared" si="5"/>
        <v>31</v>
      </c>
      <c r="O18" s="74">
        <f t="shared" si="5"/>
        <v>32</v>
      </c>
      <c r="P18" s="74">
        <f t="shared" si="5"/>
        <v>33</v>
      </c>
      <c r="Q18" s="74">
        <f t="shared" si="5"/>
        <v>34</v>
      </c>
      <c r="R18" s="74">
        <f t="shared" si="5"/>
        <v>35</v>
      </c>
      <c r="S18" s="74">
        <f t="shared" si="5"/>
        <v>36</v>
      </c>
      <c r="T18" s="74">
        <f t="shared" si="6"/>
        <v>37</v>
      </c>
      <c r="U18" s="74">
        <f t="shared" si="6"/>
        <v>38</v>
      </c>
      <c r="V18" s="74">
        <f t="shared" si="6"/>
        <v>39</v>
      </c>
      <c r="W18" s="74">
        <f t="shared" si="6"/>
        <v>40</v>
      </c>
      <c r="X18" s="74">
        <f t="shared" si="6"/>
        <v>41</v>
      </c>
      <c r="Y18" s="74">
        <f t="shared" si="6"/>
        <v>42</v>
      </c>
      <c r="Z18" s="74">
        <f t="shared" si="6"/>
        <v>43</v>
      </c>
      <c r="AA18" s="74">
        <f t="shared" si="6"/>
        <v>44</v>
      </c>
      <c r="AB18" s="74">
        <f t="shared" si="6"/>
        <v>45</v>
      </c>
      <c r="AC18" s="74">
        <f t="shared" si="6"/>
        <v>46</v>
      </c>
      <c r="AD18" s="74">
        <f t="shared" si="6"/>
        <v>47</v>
      </c>
      <c r="AE18" s="74">
        <f t="shared" si="6"/>
        <v>48</v>
      </c>
      <c r="AF18" s="74">
        <f t="shared" si="6"/>
        <v>49</v>
      </c>
      <c r="AG18" s="74">
        <f t="shared" si="6"/>
        <v>50</v>
      </c>
      <c r="AH18" s="74">
        <f t="shared" si="6"/>
        <v>51</v>
      </c>
    </row>
    <row r="19" spans="2:34" x14ac:dyDescent="0.25">
      <c r="B19" s="14" t="s">
        <v>420</v>
      </c>
      <c r="C19" s="30">
        <v>7.4999999999999997E-2</v>
      </c>
      <c r="D19" s="56">
        <f t="shared" si="0"/>
        <v>1296</v>
      </c>
      <c r="E19" s="64">
        <f t="shared" si="1"/>
        <v>27</v>
      </c>
      <c r="F19" s="48">
        <f t="shared" si="2"/>
        <v>31</v>
      </c>
      <c r="G19" s="55">
        <f t="shared" si="3"/>
        <v>0.87749647425653288</v>
      </c>
      <c r="H19" s="55">
        <f t="shared" si="4"/>
        <v>0.87096774193548387</v>
      </c>
      <c r="J19" s="74">
        <f t="shared" si="5"/>
        <v>9999</v>
      </c>
      <c r="K19" s="74">
        <f t="shared" si="5"/>
        <v>9999</v>
      </c>
      <c r="L19" s="74">
        <f t="shared" si="5"/>
        <v>9999</v>
      </c>
      <c r="M19" s="74">
        <f t="shared" si="5"/>
        <v>31</v>
      </c>
      <c r="N19" s="74">
        <f t="shared" si="5"/>
        <v>32</v>
      </c>
      <c r="O19" s="74">
        <f t="shared" si="5"/>
        <v>33</v>
      </c>
      <c r="P19" s="74">
        <f t="shared" si="5"/>
        <v>34</v>
      </c>
      <c r="Q19" s="74">
        <f t="shared" si="5"/>
        <v>35</v>
      </c>
      <c r="R19" s="74">
        <f t="shared" si="5"/>
        <v>36</v>
      </c>
      <c r="S19" s="74">
        <f t="shared" si="5"/>
        <v>37</v>
      </c>
      <c r="T19" s="74">
        <f t="shared" si="6"/>
        <v>38</v>
      </c>
      <c r="U19" s="74">
        <f t="shared" si="6"/>
        <v>39</v>
      </c>
      <c r="V19" s="74">
        <f t="shared" si="6"/>
        <v>40</v>
      </c>
      <c r="W19" s="74">
        <f t="shared" si="6"/>
        <v>41</v>
      </c>
      <c r="X19" s="74">
        <f t="shared" si="6"/>
        <v>42</v>
      </c>
      <c r="Y19" s="74">
        <f t="shared" si="6"/>
        <v>43</v>
      </c>
      <c r="Z19" s="74">
        <f t="shared" si="6"/>
        <v>44</v>
      </c>
      <c r="AA19" s="74">
        <f t="shared" si="6"/>
        <v>45</v>
      </c>
      <c r="AB19" s="74">
        <f t="shared" si="6"/>
        <v>46</v>
      </c>
      <c r="AC19" s="74">
        <f t="shared" si="6"/>
        <v>47</v>
      </c>
      <c r="AD19" s="74">
        <f t="shared" si="6"/>
        <v>48</v>
      </c>
      <c r="AE19" s="74">
        <f t="shared" si="6"/>
        <v>49</v>
      </c>
      <c r="AF19" s="74">
        <f t="shared" si="6"/>
        <v>50</v>
      </c>
      <c r="AG19" s="74">
        <f t="shared" si="6"/>
        <v>51</v>
      </c>
      <c r="AH19" s="74">
        <f t="shared" si="6"/>
        <v>52</v>
      </c>
    </row>
    <row r="20" spans="2:34" x14ac:dyDescent="0.25">
      <c r="B20" s="14" t="s">
        <v>421</v>
      </c>
      <c r="C20" s="30">
        <v>7.4999999999999997E-2</v>
      </c>
      <c r="D20" s="56">
        <f t="shared" si="0"/>
        <v>1296</v>
      </c>
      <c r="E20" s="64">
        <f t="shared" si="1"/>
        <v>27</v>
      </c>
      <c r="F20" s="48">
        <f t="shared" si="2"/>
        <v>31</v>
      </c>
      <c r="G20" s="55">
        <f t="shared" si="3"/>
        <v>0.87749647425653288</v>
      </c>
      <c r="H20" s="55">
        <f t="shared" si="4"/>
        <v>0.87096774193548387</v>
      </c>
      <c r="J20" s="74">
        <f t="shared" si="5"/>
        <v>9999</v>
      </c>
      <c r="K20" s="74">
        <f t="shared" si="5"/>
        <v>9999</v>
      </c>
      <c r="L20" s="74">
        <f t="shared" si="5"/>
        <v>9999</v>
      </c>
      <c r="M20" s="74">
        <f t="shared" si="5"/>
        <v>31</v>
      </c>
      <c r="N20" s="74">
        <f t="shared" si="5"/>
        <v>32</v>
      </c>
      <c r="O20" s="74">
        <f t="shared" si="5"/>
        <v>33</v>
      </c>
      <c r="P20" s="74">
        <f t="shared" si="5"/>
        <v>34</v>
      </c>
      <c r="Q20" s="74">
        <f t="shared" si="5"/>
        <v>35</v>
      </c>
      <c r="R20" s="74">
        <f t="shared" si="5"/>
        <v>36</v>
      </c>
      <c r="S20" s="74">
        <f t="shared" si="5"/>
        <v>37</v>
      </c>
      <c r="T20" s="74">
        <f t="shared" si="6"/>
        <v>38</v>
      </c>
      <c r="U20" s="74">
        <f t="shared" si="6"/>
        <v>39</v>
      </c>
      <c r="V20" s="74">
        <f t="shared" si="6"/>
        <v>40</v>
      </c>
      <c r="W20" s="74">
        <f t="shared" si="6"/>
        <v>41</v>
      </c>
      <c r="X20" s="74">
        <f t="shared" si="6"/>
        <v>42</v>
      </c>
      <c r="Y20" s="74">
        <f t="shared" si="6"/>
        <v>43</v>
      </c>
      <c r="Z20" s="74">
        <f t="shared" si="6"/>
        <v>44</v>
      </c>
      <c r="AA20" s="74">
        <f t="shared" si="6"/>
        <v>45</v>
      </c>
      <c r="AB20" s="74">
        <f t="shared" si="6"/>
        <v>46</v>
      </c>
      <c r="AC20" s="74">
        <f t="shared" si="6"/>
        <v>47</v>
      </c>
      <c r="AD20" s="74">
        <f t="shared" si="6"/>
        <v>48</v>
      </c>
      <c r="AE20" s="74">
        <f t="shared" si="6"/>
        <v>49</v>
      </c>
      <c r="AF20" s="74">
        <f t="shared" si="6"/>
        <v>50</v>
      </c>
      <c r="AG20" s="74">
        <f t="shared" si="6"/>
        <v>51</v>
      </c>
      <c r="AH20" s="74">
        <f t="shared" si="6"/>
        <v>52</v>
      </c>
    </row>
    <row r="21" spans="2:34" x14ac:dyDescent="0.25">
      <c r="B21" s="14" t="s">
        <v>422</v>
      </c>
      <c r="C21" s="30">
        <v>6.5000000000000002E-2</v>
      </c>
      <c r="D21" s="56">
        <f t="shared" si="0"/>
        <v>1123.2</v>
      </c>
      <c r="E21" s="64">
        <f t="shared" si="1"/>
        <v>23.4</v>
      </c>
      <c r="F21" s="48">
        <f t="shared" si="2"/>
        <v>27</v>
      </c>
      <c r="G21" s="55">
        <f t="shared" si="3"/>
        <v>0.85772559228479939</v>
      </c>
      <c r="H21" s="55">
        <f t="shared" si="4"/>
        <v>0.86666666666666659</v>
      </c>
      <c r="J21" s="74">
        <f t="shared" si="5"/>
        <v>9999</v>
      </c>
      <c r="K21" s="74">
        <f t="shared" si="5"/>
        <v>9999</v>
      </c>
      <c r="L21" s="74">
        <f t="shared" si="5"/>
        <v>27</v>
      </c>
      <c r="M21" s="74">
        <f t="shared" si="5"/>
        <v>28</v>
      </c>
      <c r="N21" s="74">
        <f t="shared" si="5"/>
        <v>29</v>
      </c>
      <c r="O21" s="74">
        <f t="shared" si="5"/>
        <v>30</v>
      </c>
      <c r="P21" s="74">
        <f t="shared" si="5"/>
        <v>31</v>
      </c>
      <c r="Q21" s="74">
        <f t="shared" si="5"/>
        <v>32</v>
      </c>
      <c r="R21" s="74">
        <f t="shared" si="5"/>
        <v>33</v>
      </c>
      <c r="S21" s="74">
        <f t="shared" si="5"/>
        <v>34</v>
      </c>
      <c r="T21" s="74">
        <f t="shared" si="6"/>
        <v>35</v>
      </c>
      <c r="U21" s="74">
        <f t="shared" si="6"/>
        <v>36</v>
      </c>
      <c r="V21" s="74">
        <f t="shared" si="6"/>
        <v>37</v>
      </c>
      <c r="W21" s="74">
        <f t="shared" si="6"/>
        <v>38</v>
      </c>
      <c r="X21" s="74">
        <f t="shared" si="6"/>
        <v>39</v>
      </c>
      <c r="Y21" s="74">
        <f t="shared" si="6"/>
        <v>40</v>
      </c>
      <c r="Z21" s="74">
        <f t="shared" si="6"/>
        <v>41</v>
      </c>
      <c r="AA21" s="74">
        <f t="shared" si="6"/>
        <v>42</v>
      </c>
      <c r="AB21" s="74">
        <f t="shared" si="6"/>
        <v>43</v>
      </c>
      <c r="AC21" s="74">
        <f t="shared" si="6"/>
        <v>44</v>
      </c>
      <c r="AD21" s="74">
        <f t="shared" si="6"/>
        <v>45</v>
      </c>
      <c r="AE21" s="74">
        <f t="shared" si="6"/>
        <v>46</v>
      </c>
      <c r="AF21" s="74">
        <f t="shared" si="6"/>
        <v>47</v>
      </c>
      <c r="AG21" s="74">
        <f t="shared" si="6"/>
        <v>48</v>
      </c>
      <c r="AH21" s="74">
        <f t="shared" si="6"/>
        <v>49</v>
      </c>
    </row>
    <row r="22" spans="2:34" x14ac:dyDescent="0.25">
      <c r="B22" s="14" t="s">
        <v>423</v>
      </c>
      <c r="C22" s="30">
        <v>0.06</v>
      </c>
      <c r="D22" s="56">
        <f t="shared" si="0"/>
        <v>1036.8</v>
      </c>
      <c r="E22" s="64">
        <f t="shared" si="1"/>
        <v>21.6</v>
      </c>
      <c r="F22" s="48">
        <f t="shared" si="2"/>
        <v>25</v>
      </c>
      <c r="G22" s="55">
        <f t="shared" si="3"/>
        <v>0.84669057276415183</v>
      </c>
      <c r="H22" s="55">
        <f t="shared" si="4"/>
        <v>0.8640000000000001</v>
      </c>
      <c r="J22" s="74">
        <f t="shared" si="5"/>
        <v>9999</v>
      </c>
      <c r="K22" s="74">
        <f t="shared" si="5"/>
        <v>9999</v>
      </c>
      <c r="L22" s="74">
        <f t="shared" si="5"/>
        <v>25</v>
      </c>
      <c r="M22" s="74">
        <f t="shared" si="5"/>
        <v>26</v>
      </c>
      <c r="N22" s="74">
        <f t="shared" si="5"/>
        <v>27</v>
      </c>
      <c r="O22" s="74">
        <f t="shared" si="5"/>
        <v>28</v>
      </c>
      <c r="P22" s="74">
        <f t="shared" si="5"/>
        <v>29</v>
      </c>
      <c r="Q22" s="74">
        <f t="shared" si="5"/>
        <v>30</v>
      </c>
      <c r="R22" s="74">
        <f t="shared" si="5"/>
        <v>31</v>
      </c>
      <c r="S22" s="74">
        <f t="shared" si="5"/>
        <v>32</v>
      </c>
      <c r="T22" s="74">
        <f t="shared" si="6"/>
        <v>33</v>
      </c>
      <c r="U22" s="74">
        <f t="shared" si="6"/>
        <v>34</v>
      </c>
      <c r="V22" s="74">
        <f t="shared" si="6"/>
        <v>35</v>
      </c>
      <c r="W22" s="74">
        <f t="shared" si="6"/>
        <v>36</v>
      </c>
      <c r="X22" s="74">
        <f t="shared" si="6"/>
        <v>37</v>
      </c>
      <c r="Y22" s="74">
        <f t="shared" si="6"/>
        <v>38</v>
      </c>
      <c r="Z22" s="74">
        <f t="shared" si="6"/>
        <v>39</v>
      </c>
      <c r="AA22" s="74">
        <f t="shared" si="6"/>
        <v>40</v>
      </c>
      <c r="AB22" s="74">
        <f t="shared" si="6"/>
        <v>41</v>
      </c>
      <c r="AC22" s="74">
        <f t="shared" si="6"/>
        <v>42</v>
      </c>
      <c r="AD22" s="74">
        <f t="shared" si="6"/>
        <v>43</v>
      </c>
      <c r="AE22" s="74">
        <f t="shared" si="6"/>
        <v>44</v>
      </c>
      <c r="AF22" s="74">
        <f t="shared" si="6"/>
        <v>45</v>
      </c>
      <c r="AG22" s="74">
        <f t="shared" si="6"/>
        <v>46</v>
      </c>
      <c r="AH22" s="74">
        <f t="shared" si="6"/>
        <v>47</v>
      </c>
    </row>
    <row r="23" spans="2:34" x14ac:dyDescent="0.25">
      <c r="B23" s="14" t="s">
        <v>424</v>
      </c>
      <c r="C23" s="30">
        <v>0.06</v>
      </c>
      <c r="D23" s="56">
        <f t="shared" si="0"/>
        <v>1036.8</v>
      </c>
      <c r="E23" s="64">
        <f t="shared" si="1"/>
        <v>21.6</v>
      </c>
      <c r="F23" s="48">
        <f t="shared" si="2"/>
        <v>25</v>
      </c>
      <c r="G23" s="55">
        <f t="shared" si="3"/>
        <v>0.84669057276415183</v>
      </c>
      <c r="H23" s="55">
        <f t="shared" si="4"/>
        <v>0.8640000000000001</v>
      </c>
      <c r="J23" s="74">
        <f t="shared" si="5"/>
        <v>9999</v>
      </c>
      <c r="K23" s="74">
        <f t="shared" si="5"/>
        <v>9999</v>
      </c>
      <c r="L23" s="74">
        <f t="shared" si="5"/>
        <v>25</v>
      </c>
      <c r="M23" s="74">
        <f t="shared" si="5"/>
        <v>26</v>
      </c>
      <c r="N23" s="74">
        <f t="shared" si="5"/>
        <v>27</v>
      </c>
      <c r="O23" s="74">
        <f t="shared" si="5"/>
        <v>28</v>
      </c>
      <c r="P23" s="74">
        <f t="shared" si="5"/>
        <v>29</v>
      </c>
      <c r="Q23" s="74">
        <f t="shared" si="5"/>
        <v>30</v>
      </c>
      <c r="R23" s="74">
        <f t="shared" si="5"/>
        <v>31</v>
      </c>
      <c r="S23" s="74">
        <f t="shared" si="5"/>
        <v>32</v>
      </c>
      <c r="T23" s="74">
        <f t="shared" si="6"/>
        <v>33</v>
      </c>
      <c r="U23" s="74">
        <f t="shared" si="6"/>
        <v>34</v>
      </c>
      <c r="V23" s="74">
        <f t="shared" si="6"/>
        <v>35</v>
      </c>
      <c r="W23" s="74">
        <f t="shared" si="6"/>
        <v>36</v>
      </c>
      <c r="X23" s="74">
        <f t="shared" si="6"/>
        <v>37</v>
      </c>
      <c r="Y23" s="74">
        <f t="shared" si="6"/>
        <v>38</v>
      </c>
      <c r="Z23" s="74">
        <f t="shared" si="6"/>
        <v>39</v>
      </c>
      <c r="AA23" s="74">
        <f t="shared" si="6"/>
        <v>40</v>
      </c>
      <c r="AB23" s="74">
        <f t="shared" si="6"/>
        <v>41</v>
      </c>
      <c r="AC23" s="74">
        <f t="shared" si="6"/>
        <v>42</v>
      </c>
      <c r="AD23" s="74">
        <f t="shared" si="6"/>
        <v>43</v>
      </c>
      <c r="AE23" s="74">
        <f t="shared" si="6"/>
        <v>44</v>
      </c>
      <c r="AF23" s="74">
        <f t="shared" si="6"/>
        <v>45</v>
      </c>
      <c r="AG23" s="74">
        <f t="shared" si="6"/>
        <v>46</v>
      </c>
      <c r="AH23" s="74">
        <f t="shared" si="6"/>
        <v>47</v>
      </c>
    </row>
    <row r="24" spans="2:34" x14ac:dyDescent="0.25">
      <c r="B24" s="14" t="s">
        <v>425</v>
      </c>
      <c r="C24" s="30">
        <v>6.5000000000000002E-2</v>
      </c>
      <c r="D24" s="56">
        <f t="shared" si="0"/>
        <v>1123.2</v>
      </c>
      <c r="E24" s="64">
        <f t="shared" si="1"/>
        <v>23.4</v>
      </c>
      <c r="F24" s="48">
        <f t="shared" si="2"/>
        <v>27</v>
      </c>
      <c r="G24" s="55">
        <f t="shared" si="3"/>
        <v>0.85772559228479939</v>
      </c>
      <c r="H24" s="55">
        <f t="shared" si="4"/>
        <v>0.86666666666666659</v>
      </c>
      <c r="J24" s="74">
        <f t="shared" si="5"/>
        <v>9999</v>
      </c>
      <c r="K24" s="74">
        <f t="shared" si="5"/>
        <v>9999</v>
      </c>
      <c r="L24" s="74">
        <f t="shared" si="5"/>
        <v>27</v>
      </c>
      <c r="M24" s="74">
        <f t="shared" si="5"/>
        <v>28</v>
      </c>
      <c r="N24" s="74">
        <f t="shared" si="5"/>
        <v>29</v>
      </c>
      <c r="O24" s="74">
        <f t="shared" si="5"/>
        <v>30</v>
      </c>
      <c r="P24" s="74">
        <f t="shared" si="5"/>
        <v>31</v>
      </c>
      <c r="Q24" s="74">
        <f t="shared" si="5"/>
        <v>32</v>
      </c>
      <c r="R24" s="74">
        <f t="shared" si="5"/>
        <v>33</v>
      </c>
      <c r="S24" s="74">
        <f t="shared" si="5"/>
        <v>34</v>
      </c>
      <c r="T24" s="74">
        <f t="shared" si="6"/>
        <v>35</v>
      </c>
      <c r="U24" s="74">
        <f t="shared" si="6"/>
        <v>36</v>
      </c>
      <c r="V24" s="74">
        <f t="shared" si="6"/>
        <v>37</v>
      </c>
      <c r="W24" s="74">
        <f t="shared" si="6"/>
        <v>38</v>
      </c>
      <c r="X24" s="74">
        <f t="shared" si="6"/>
        <v>39</v>
      </c>
      <c r="Y24" s="74">
        <f t="shared" si="6"/>
        <v>40</v>
      </c>
      <c r="Z24" s="74">
        <f t="shared" si="6"/>
        <v>41</v>
      </c>
      <c r="AA24" s="74">
        <f t="shared" si="6"/>
        <v>42</v>
      </c>
      <c r="AB24" s="74">
        <f t="shared" si="6"/>
        <v>43</v>
      </c>
      <c r="AC24" s="74">
        <f t="shared" si="6"/>
        <v>44</v>
      </c>
      <c r="AD24" s="74">
        <f t="shared" si="6"/>
        <v>45</v>
      </c>
      <c r="AE24" s="74">
        <f t="shared" si="6"/>
        <v>46</v>
      </c>
      <c r="AF24" s="74">
        <f t="shared" si="6"/>
        <v>47</v>
      </c>
      <c r="AG24" s="74">
        <f t="shared" si="6"/>
        <v>48</v>
      </c>
      <c r="AH24" s="74">
        <f t="shared" si="6"/>
        <v>49</v>
      </c>
    </row>
    <row r="25" spans="2:34" x14ac:dyDescent="0.25">
      <c r="B25" s="14" t="s">
        <v>426</v>
      </c>
      <c r="C25" s="30">
        <v>7.0000000000000007E-2</v>
      </c>
      <c r="D25" s="56">
        <f t="shared" si="0"/>
        <v>1209.6000000000001</v>
      </c>
      <c r="E25" s="64">
        <f t="shared" si="1"/>
        <v>25.200000000000003</v>
      </c>
      <c r="F25" s="48">
        <f t="shared" si="2"/>
        <v>29</v>
      </c>
      <c r="G25" s="55">
        <f t="shared" si="3"/>
        <v>0.86797914698545287</v>
      </c>
      <c r="H25" s="55">
        <f t="shared" si="4"/>
        <v>0.86896551724137938</v>
      </c>
      <c r="J25" s="74">
        <f t="shared" ref="J25:S30" si="7">IF(1-POISSON((ROUNDUP($E25,0)+J$14),$E25,FALSE())/(POISSON((ROUNDUP($E25,0)+J$14),$E25,FALSE())+(1-$E25/(ROUNDUP($E25,0)+J$14))*POISSON((ROUNDUP($E25,0)+J$14)-1,$E25,TRUE()))*EXP(-((ROUNDUP($E25,0)+J$14)-$E25)*$C$11/$C$9)&gt;=$C$10,(ROUNDUP($E25,0)+J$14),9999)</f>
        <v>9999</v>
      </c>
      <c r="K25" s="74">
        <f t="shared" si="7"/>
        <v>9999</v>
      </c>
      <c r="L25" s="74">
        <f t="shared" si="7"/>
        <v>29</v>
      </c>
      <c r="M25" s="74">
        <f t="shared" si="7"/>
        <v>30</v>
      </c>
      <c r="N25" s="74">
        <f t="shared" si="7"/>
        <v>31</v>
      </c>
      <c r="O25" s="74">
        <f t="shared" si="7"/>
        <v>32</v>
      </c>
      <c r="P25" s="74">
        <f t="shared" si="7"/>
        <v>33</v>
      </c>
      <c r="Q25" s="74">
        <f t="shared" si="7"/>
        <v>34</v>
      </c>
      <c r="R25" s="74">
        <f t="shared" si="7"/>
        <v>35</v>
      </c>
      <c r="S25" s="74">
        <f t="shared" si="7"/>
        <v>36</v>
      </c>
      <c r="T25" s="74">
        <f t="shared" ref="T25:AH30" si="8">IF(1-POISSON((ROUNDUP($E25,0)+T$14),$E25,FALSE())/(POISSON((ROUNDUP($E25,0)+T$14),$E25,FALSE())+(1-$E25/(ROUNDUP($E25,0)+T$14))*POISSON((ROUNDUP($E25,0)+T$14)-1,$E25,TRUE()))*EXP(-((ROUNDUP($E25,0)+T$14)-$E25)*$C$11/$C$9)&gt;=$C$10,(ROUNDUP($E25,0)+T$14),9999)</f>
        <v>37</v>
      </c>
      <c r="U25" s="74">
        <f t="shared" si="8"/>
        <v>38</v>
      </c>
      <c r="V25" s="74">
        <f t="shared" si="8"/>
        <v>39</v>
      </c>
      <c r="W25" s="74">
        <f t="shared" si="8"/>
        <v>40</v>
      </c>
      <c r="X25" s="74">
        <f t="shared" si="8"/>
        <v>41</v>
      </c>
      <c r="Y25" s="74">
        <f t="shared" si="8"/>
        <v>42</v>
      </c>
      <c r="Z25" s="74">
        <f t="shared" si="8"/>
        <v>43</v>
      </c>
      <c r="AA25" s="74">
        <f t="shared" si="8"/>
        <v>44</v>
      </c>
      <c r="AB25" s="74">
        <f t="shared" si="8"/>
        <v>45</v>
      </c>
      <c r="AC25" s="74">
        <f t="shared" si="8"/>
        <v>46</v>
      </c>
      <c r="AD25" s="74">
        <f t="shared" si="8"/>
        <v>47</v>
      </c>
      <c r="AE25" s="74">
        <f t="shared" si="8"/>
        <v>48</v>
      </c>
      <c r="AF25" s="74">
        <f t="shared" si="8"/>
        <v>49</v>
      </c>
      <c r="AG25" s="74">
        <f t="shared" si="8"/>
        <v>50</v>
      </c>
      <c r="AH25" s="74">
        <f t="shared" si="8"/>
        <v>51</v>
      </c>
    </row>
    <row r="26" spans="2:34" x14ac:dyDescent="0.25">
      <c r="B26" s="14" t="s">
        <v>427</v>
      </c>
      <c r="C26" s="30">
        <v>7.4999999999999997E-2</v>
      </c>
      <c r="D26" s="56">
        <f t="shared" si="0"/>
        <v>1296</v>
      </c>
      <c r="E26" s="64">
        <f t="shared" si="1"/>
        <v>27</v>
      </c>
      <c r="F26" s="48">
        <f t="shared" si="2"/>
        <v>31</v>
      </c>
      <c r="G26" s="55">
        <f t="shared" si="3"/>
        <v>0.87749647425653288</v>
      </c>
      <c r="H26" s="55">
        <f t="shared" si="4"/>
        <v>0.87096774193548387</v>
      </c>
      <c r="J26" s="74">
        <f t="shared" si="7"/>
        <v>9999</v>
      </c>
      <c r="K26" s="74">
        <f t="shared" si="7"/>
        <v>9999</v>
      </c>
      <c r="L26" s="74">
        <f t="shared" si="7"/>
        <v>9999</v>
      </c>
      <c r="M26" s="74">
        <f t="shared" si="7"/>
        <v>31</v>
      </c>
      <c r="N26" s="74">
        <f t="shared" si="7"/>
        <v>32</v>
      </c>
      <c r="O26" s="74">
        <f t="shared" si="7"/>
        <v>33</v>
      </c>
      <c r="P26" s="74">
        <f t="shared" si="7"/>
        <v>34</v>
      </c>
      <c r="Q26" s="74">
        <f t="shared" si="7"/>
        <v>35</v>
      </c>
      <c r="R26" s="74">
        <f t="shared" si="7"/>
        <v>36</v>
      </c>
      <c r="S26" s="74">
        <f t="shared" si="7"/>
        <v>37</v>
      </c>
      <c r="T26" s="74">
        <f t="shared" si="8"/>
        <v>38</v>
      </c>
      <c r="U26" s="74">
        <f t="shared" si="8"/>
        <v>39</v>
      </c>
      <c r="V26" s="74">
        <f t="shared" si="8"/>
        <v>40</v>
      </c>
      <c r="W26" s="74">
        <f t="shared" si="8"/>
        <v>41</v>
      </c>
      <c r="X26" s="74">
        <f t="shared" si="8"/>
        <v>42</v>
      </c>
      <c r="Y26" s="74">
        <f t="shared" si="8"/>
        <v>43</v>
      </c>
      <c r="Z26" s="74">
        <f t="shared" si="8"/>
        <v>44</v>
      </c>
      <c r="AA26" s="74">
        <f t="shared" si="8"/>
        <v>45</v>
      </c>
      <c r="AB26" s="74">
        <f t="shared" si="8"/>
        <v>46</v>
      </c>
      <c r="AC26" s="74">
        <f t="shared" si="8"/>
        <v>47</v>
      </c>
      <c r="AD26" s="74">
        <f t="shared" si="8"/>
        <v>48</v>
      </c>
      <c r="AE26" s="74">
        <f t="shared" si="8"/>
        <v>49</v>
      </c>
      <c r="AF26" s="74">
        <f t="shared" si="8"/>
        <v>50</v>
      </c>
      <c r="AG26" s="74">
        <f t="shared" si="8"/>
        <v>51</v>
      </c>
      <c r="AH26" s="74">
        <f t="shared" si="8"/>
        <v>52</v>
      </c>
    </row>
    <row r="27" spans="2:34" x14ac:dyDescent="0.25">
      <c r="B27" s="14" t="s">
        <v>428</v>
      </c>
      <c r="C27" s="30">
        <v>7.4999999999999997E-2</v>
      </c>
      <c r="D27" s="56">
        <f t="shared" si="0"/>
        <v>1296</v>
      </c>
      <c r="E27" s="64">
        <f t="shared" si="1"/>
        <v>27</v>
      </c>
      <c r="F27" s="48">
        <f t="shared" si="2"/>
        <v>31</v>
      </c>
      <c r="G27" s="55">
        <f t="shared" si="3"/>
        <v>0.87749647425653288</v>
      </c>
      <c r="H27" s="55">
        <f t="shared" si="4"/>
        <v>0.87096774193548387</v>
      </c>
      <c r="J27" s="74">
        <f t="shared" si="7"/>
        <v>9999</v>
      </c>
      <c r="K27" s="74">
        <f t="shared" si="7"/>
        <v>9999</v>
      </c>
      <c r="L27" s="74">
        <f t="shared" si="7"/>
        <v>9999</v>
      </c>
      <c r="M27" s="74">
        <f t="shared" si="7"/>
        <v>31</v>
      </c>
      <c r="N27" s="74">
        <f t="shared" si="7"/>
        <v>32</v>
      </c>
      <c r="O27" s="74">
        <f t="shared" si="7"/>
        <v>33</v>
      </c>
      <c r="P27" s="74">
        <f t="shared" si="7"/>
        <v>34</v>
      </c>
      <c r="Q27" s="74">
        <f t="shared" si="7"/>
        <v>35</v>
      </c>
      <c r="R27" s="74">
        <f t="shared" si="7"/>
        <v>36</v>
      </c>
      <c r="S27" s="74">
        <f t="shared" si="7"/>
        <v>37</v>
      </c>
      <c r="T27" s="74">
        <f t="shared" si="8"/>
        <v>38</v>
      </c>
      <c r="U27" s="74">
        <f t="shared" si="8"/>
        <v>39</v>
      </c>
      <c r="V27" s="74">
        <f t="shared" si="8"/>
        <v>40</v>
      </c>
      <c r="W27" s="74">
        <f t="shared" si="8"/>
        <v>41</v>
      </c>
      <c r="X27" s="74">
        <f t="shared" si="8"/>
        <v>42</v>
      </c>
      <c r="Y27" s="74">
        <f t="shared" si="8"/>
        <v>43</v>
      </c>
      <c r="Z27" s="74">
        <f t="shared" si="8"/>
        <v>44</v>
      </c>
      <c r="AA27" s="74">
        <f t="shared" si="8"/>
        <v>45</v>
      </c>
      <c r="AB27" s="74">
        <f t="shared" si="8"/>
        <v>46</v>
      </c>
      <c r="AC27" s="74">
        <f t="shared" si="8"/>
        <v>47</v>
      </c>
      <c r="AD27" s="74">
        <f t="shared" si="8"/>
        <v>48</v>
      </c>
      <c r="AE27" s="74">
        <f t="shared" si="8"/>
        <v>49</v>
      </c>
      <c r="AF27" s="74">
        <f t="shared" si="8"/>
        <v>50</v>
      </c>
      <c r="AG27" s="74">
        <f t="shared" si="8"/>
        <v>51</v>
      </c>
      <c r="AH27" s="74">
        <f t="shared" si="8"/>
        <v>52</v>
      </c>
    </row>
    <row r="28" spans="2:34" x14ac:dyDescent="0.25">
      <c r="B28" s="14" t="s">
        <v>429</v>
      </c>
      <c r="C28" s="30">
        <v>6.5000000000000002E-2</v>
      </c>
      <c r="D28" s="56">
        <f t="shared" si="0"/>
        <v>1123.2</v>
      </c>
      <c r="E28" s="64">
        <f t="shared" si="1"/>
        <v>23.4</v>
      </c>
      <c r="F28" s="48">
        <f t="shared" si="2"/>
        <v>27</v>
      </c>
      <c r="G28" s="55">
        <f t="shared" si="3"/>
        <v>0.85772559228479939</v>
      </c>
      <c r="H28" s="55">
        <f t="shared" si="4"/>
        <v>0.86666666666666659</v>
      </c>
      <c r="J28" s="74">
        <f t="shared" si="7"/>
        <v>9999</v>
      </c>
      <c r="K28" s="74">
        <f t="shared" si="7"/>
        <v>9999</v>
      </c>
      <c r="L28" s="74">
        <f t="shared" si="7"/>
        <v>27</v>
      </c>
      <c r="M28" s="74">
        <f t="shared" si="7"/>
        <v>28</v>
      </c>
      <c r="N28" s="74">
        <f t="shared" si="7"/>
        <v>29</v>
      </c>
      <c r="O28" s="74">
        <f t="shared" si="7"/>
        <v>30</v>
      </c>
      <c r="P28" s="74">
        <f t="shared" si="7"/>
        <v>31</v>
      </c>
      <c r="Q28" s="74">
        <f t="shared" si="7"/>
        <v>32</v>
      </c>
      <c r="R28" s="74">
        <f t="shared" si="7"/>
        <v>33</v>
      </c>
      <c r="S28" s="74">
        <f t="shared" si="7"/>
        <v>34</v>
      </c>
      <c r="T28" s="74">
        <f t="shared" si="8"/>
        <v>35</v>
      </c>
      <c r="U28" s="74">
        <f t="shared" si="8"/>
        <v>36</v>
      </c>
      <c r="V28" s="74">
        <f t="shared" si="8"/>
        <v>37</v>
      </c>
      <c r="W28" s="74">
        <f t="shared" si="8"/>
        <v>38</v>
      </c>
      <c r="X28" s="74">
        <f t="shared" si="8"/>
        <v>39</v>
      </c>
      <c r="Y28" s="74">
        <f t="shared" si="8"/>
        <v>40</v>
      </c>
      <c r="Z28" s="74">
        <f t="shared" si="8"/>
        <v>41</v>
      </c>
      <c r="AA28" s="74">
        <f t="shared" si="8"/>
        <v>42</v>
      </c>
      <c r="AB28" s="74">
        <f t="shared" si="8"/>
        <v>43</v>
      </c>
      <c r="AC28" s="74">
        <f t="shared" si="8"/>
        <v>44</v>
      </c>
      <c r="AD28" s="74">
        <f t="shared" si="8"/>
        <v>45</v>
      </c>
      <c r="AE28" s="74">
        <f t="shared" si="8"/>
        <v>46</v>
      </c>
      <c r="AF28" s="74">
        <f t="shared" si="8"/>
        <v>47</v>
      </c>
      <c r="AG28" s="74">
        <f t="shared" si="8"/>
        <v>48</v>
      </c>
      <c r="AH28" s="74">
        <f t="shared" si="8"/>
        <v>49</v>
      </c>
    </row>
    <row r="29" spans="2:34" x14ac:dyDescent="0.25">
      <c r="B29" s="14" t="s">
        <v>430</v>
      </c>
      <c r="C29" s="30">
        <v>0.05</v>
      </c>
      <c r="D29" s="56">
        <f t="shared" si="0"/>
        <v>864</v>
      </c>
      <c r="E29" s="64">
        <f t="shared" si="1"/>
        <v>18</v>
      </c>
      <c r="F29" s="48">
        <f t="shared" si="2"/>
        <v>21</v>
      </c>
      <c r="G29" s="55">
        <f t="shared" si="3"/>
        <v>0.82212345363186956</v>
      </c>
      <c r="H29" s="55">
        <f t="shared" si="4"/>
        <v>0.8571428571428571</v>
      </c>
      <c r="J29" s="74">
        <f t="shared" si="7"/>
        <v>9999</v>
      </c>
      <c r="K29" s="74">
        <f t="shared" si="7"/>
        <v>9999</v>
      </c>
      <c r="L29" s="74">
        <f t="shared" si="7"/>
        <v>21</v>
      </c>
      <c r="M29" s="74">
        <f t="shared" si="7"/>
        <v>22</v>
      </c>
      <c r="N29" s="74">
        <f t="shared" si="7"/>
        <v>23</v>
      </c>
      <c r="O29" s="74">
        <f t="shared" si="7"/>
        <v>24</v>
      </c>
      <c r="P29" s="74">
        <f t="shared" si="7"/>
        <v>25</v>
      </c>
      <c r="Q29" s="74">
        <f t="shared" si="7"/>
        <v>26</v>
      </c>
      <c r="R29" s="74">
        <f t="shared" si="7"/>
        <v>27</v>
      </c>
      <c r="S29" s="74">
        <f t="shared" si="7"/>
        <v>28</v>
      </c>
      <c r="T29" s="74">
        <f t="shared" si="8"/>
        <v>29</v>
      </c>
      <c r="U29" s="74">
        <f t="shared" si="8"/>
        <v>30</v>
      </c>
      <c r="V29" s="74">
        <f t="shared" si="8"/>
        <v>31</v>
      </c>
      <c r="W29" s="74">
        <f t="shared" si="8"/>
        <v>32</v>
      </c>
      <c r="X29" s="74">
        <f t="shared" si="8"/>
        <v>33</v>
      </c>
      <c r="Y29" s="74">
        <f t="shared" si="8"/>
        <v>34</v>
      </c>
      <c r="Z29" s="74">
        <f t="shared" si="8"/>
        <v>35</v>
      </c>
      <c r="AA29" s="74">
        <f t="shared" si="8"/>
        <v>36</v>
      </c>
      <c r="AB29" s="74">
        <f t="shared" si="8"/>
        <v>37</v>
      </c>
      <c r="AC29" s="74">
        <f t="shared" si="8"/>
        <v>38</v>
      </c>
      <c r="AD29" s="74">
        <f t="shared" si="8"/>
        <v>39</v>
      </c>
      <c r="AE29" s="74">
        <f t="shared" si="8"/>
        <v>40</v>
      </c>
      <c r="AF29" s="74">
        <f t="shared" si="8"/>
        <v>41</v>
      </c>
      <c r="AG29" s="74">
        <f t="shared" si="8"/>
        <v>42</v>
      </c>
      <c r="AH29" s="74">
        <f t="shared" si="8"/>
        <v>43</v>
      </c>
    </row>
    <row r="30" spans="2:34" x14ac:dyDescent="0.25">
      <c r="B30" s="14" t="s">
        <v>431</v>
      </c>
      <c r="C30" s="30">
        <v>0.04</v>
      </c>
      <c r="D30" s="56">
        <f t="shared" si="0"/>
        <v>691.2</v>
      </c>
      <c r="E30" s="64">
        <f t="shared" si="1"/>
        <v>14.4</v>
      </c>
      <c r="F30" s="48">
        <f t="shared" si="2"/>
        <v>18</v>
      </c>
      <c r="G30" s="55">
        <f t="shared" si="3"/>
        <v>0.89318809738169169</v>
      </c>
      <c r="H30" s="55">
        <f t="shared" si="4"/>
        <v>0.8</v>
      </c>
      <c r="J30" s="74">
        <f t="shared" si="7"/>
        <v>9999</v>
      </c>
      <c r="K30" s="74">
        <f t="shared" si="7"/>
        <v>9999</v>
      </c>
      <c r="L30" s="74">
        <f t="shared" si="7"/>
        <v>18</v>
      </c>
      <c r="M30" s="74">
        <f t="shared" si="7"/>
        <v>19</v>
      </c>
      <c r="N30" s="74">
        <f t="shared" si="7"/>
        <v>20</v>
      </c>
      <c r="O30" s="74">
        <f t="shared" si="7"/>
        <v>21</v>
      </c>
      <c r="P30" s="74">
        <f t="shared" si="7"/>
        <v>22</v>
      </c>
      <c r="Q30" s="74">
        <f t="shared" si="7"/>
        <v>23</v>
      </c>
      <c r="R30" s="74">
        <f t="shared" si="7"/>
        <v>24</v>
      </c>
      <c r="S30" s="74">
        <f t="shared" si="7"/>
        <v>25</v>
      </c>
      <c r="T30" s="74">
        <f t="shared" si="8"/>
        <v>26</v>
      </c>
      <c r="U30" s="74">
        <f t="shared" si="8"/>
        <v>27</v>
      </c>
      <c r="V30" s="74">
        <f t="shared" si="8"/>
        <v>28</v>
      </c>
      <c r="W30" s="74">
        <f t="shared" si="8"/>
        <v>29</v>
      </c>
      <c r="X30" s="74">
        <f t="shared" si="8"/>
        <v>30</v>
      </c>
      <c r="Y30" s="74">
        <f t="shared" si="8"/>
        <v>31</v>
      </c>
      <c r="Z30" s="74">
        <f t="shared" si="8"/>
        <v>32</v>
      </c>
      <c r="AA30" s="74">
        <f t="shared" si="8"/>
        <v>33</v>
      </c>
      <c r="AB30" s="74">
        <f t="shared" si="8"/>
        <v>34</v>
      </c>
      <c r="AC30" s="74">
        <f t="shared" si="8"/>
        <v>35</v>
      </c>
      <c r="AD30" s="74">
        <f t="shared" si="8"/>
        <v>36</v>
      </c>
      <c r="AE30" s="74">
        <f t="shared" si="8"/>
        <v>37</v>
      </c>
      <c r="AF30" s="74">
        <f t="shared" si="8"/>
        <v>38</v>
      </c>
      <c r="AG30" s="74">
        <f t="shared" si="8"/>
        <v>39</v>
      </c>
      <c r="AH30" s="74">
        <f t="shared" si="8"/>
        <v>40</v>
      </c>
    </row>
    <row r="31" spans="2:34" x14ac:dyDescent="0.25">
      <c r="B31" s="75" t="s">
        <v>432</v>
      </c>
      <c r="C31" s="76">
        <f>SUM(C15:C30)</f>
        <v>1</v>
      </c>
      <c r="D31" s="61">
        <f>SUM(D15:D30)</f>
        <v>17280.000000000004</v>
      </c>
      <c r="E31" s="69">
        <f>SUM(E15:E30)</f>
        <v>359.99999999999994</v>
      </c>
      <c r="F31" s="61">
        <f>SUM(F15:F30)</f>
        <v>418</v>
      </c>
      <c r="G31" s="77"/>
      <c r="H31" s="76">
        <f t="shared" si="4"/>
        <v>0.86124401913875581</v>
      </c>
    </row>
    <row r="33" spans="2:9" x14ac:dyDescent="0.25">
      <c r="B33" s="14" t="s">
        <v>433</v>
      </c>
      <c r="C33" s="56">
        <f>F31</f>
        <v>418</v>
      </c>
    </row>
    <row r="34" spans="2:9" x14ac:dyDescent="0.25">
      <c r="B34" s="14" t="s">
        <v>434</v>
      </c>
      <c r="C34" s="64">
        <f>F31*Assumptions!$C$32</f>
        <v>20.900000000000002</v>
      </c>
    </row>
    <row r="35" spans="2:9" x14ac:dyDescent="0.25">
      <c r="B35" s="14" t="s">
        <v>435</v>
      </c>
      <c r="C35" s="56">
        <f>C33+C34</f>
        <v>438.9</v>
      </c>
    </row>
    <row r="36" spans="2:9" x14ac:dyDescent="0.25">
      <c r="B36" s="14" t="s">
        <v>436</v>
      </c>
      <c r="C36" s="56">
        <f>C6*C9/3600/Assumptions!$C$10/C7</f>
        <v>461.53846153846155</v>
      </c>
    </row>
    <row r="37" spans="2:9" x14ac:dyDescent="0.25">
      <c r="B37" s="18" t="s">
        <v>437</v>
      </c>
      <c r="C37" s="78">
        <f>E31/C35</f>
        <v>0.82023239917976754</v>
      </c>
    </row>
    <row r="38" spans="2:9" x14ac:dyDescent="0.25">
      <c r="B38" s="14" t="s">
        <v>438</v>
      </c>
      <c r="C38" s="21">
        <f>Assumptions!$C$10</f>
        <v>0.78</v>
      </c>
    </row>
    <row r="39" spans="2:9" x14ac:dyDescent="0.25">
      <c r="B39" s="18" t="s">
        <v>439</v>
      </c>
      <c r="C39" s="78">
        <f>C36/C35-1</f>
        <v>5.1579998948420025E-2</v>
      </c>
    </row>
    <row r="41" spans="2:9" ht="15" customHeight="1" x14ac:dyDescent="0.25">
      <c r="B41" s="1" t="s">
        <v>440</v>
      </c>
      <c r="C41" s="1"/>
      <c r="D41" s="1"/>
      <c r="E41" s="1"/>
      <c r="F41" s="1"/>
      <c r="G41" s="1"/>
      <c r="H41" s="1"/>
      <c r="I41" s="1"/>
    </row>
    <row r="42" spans="2:9" x14ac:dyDescent="0.25">
      <c r="B42" s="1"/>
      <c r="C42" s="1"/>
      <c r="D42" s="1"/>
      <c r="E42" s="1"/>
      <c r="F42" s="1"/>
      <c r="G42" s="1"/>
      <c r="H42" s="1"/>
      <c r="I42" s="1"/>
    </row>
    <row r="43" spans="2:9" x14ac:dyDescent="0.25">
      <c r="B43" s="1"/>
      <c r="C43" s="1"/>
      <c r="D43" s="1"/>
      <c r="E43" s="1"/>
      <c r="F43" s="1"/>
      <c r="G43" s="1"/>
      <c r="H43" s="1"/>
      <c r="I43" s="1"/>
    </row>
  </sheetData>
  <mergeCells count="1">
    <mergeCell ref="B41:I43"/>
  </mergeCells>
  <dataValidations count="1">
    <dataValidation type="list" sqref="C5" xr:uid="{00000000-0002-0000-0500-000000000000}">
      <formula1>"Jan-26,Feb-26,Mar-26,Apr-26,May-26,Jun-26,Jul-26,Aug-26,Sep-26,Oct-26,Nov-26,Dec-26"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P61"/>
  <sheetViews>
    <sheetView showGridLines="0" tabSelected="1" zoomScaleNormal="100" workbookViewId="0">
      <pane xSplit="2" ySplit="4" topLeftCell="C44" activePane="bottomRight" state="frozen"/>
      <selection pane="topRight" activeCell="C1" sqref="C1"/>
      <selection pane="bottomLeft" activeCell="A5" sqref="A5"/>
      <selection pane="bottomRight" activeCell="D63" sqref="D63"/>
    </sheetView>
  </sheetViews>
  <sheetFormatPr defaultColWidth="8.7109375" defaultRowHeight="15" x14ac:dyDescent="0.25"/>
  <cols>
    <col min="1" max="1" width="52" customWidth="1"/>
    <col min="2" max="2" width="14" customWidth="1"/>
    <col min="3" max="14" width="11" customWidth="1"/>
    <col min="15" max="15" width="13" customWidth="1"/>
    <col min="16" max="16" width="60" customWidth="1"/>
  </cols>
  <sheetData>
    <row r="1" spans="1:16" ht="18" x14ac:dyDescent="0.25">
      <c r="A1" s="13" t="s">
        <v>441</v>
      </c>
    </row>
    <row r="2" spans="1:16" x14ac:dyDescent="0.25">
      <c r="A2" s="4" t="s">
        <v>442</v>
      </c>
    </row>
    <row r="4" spans="1:16" x14ac:dyDescent="0.25">
      <c r="A4" s="38" t="s">
        <v>296</v>
      </c>
      <c r="B4" s="38" t="s">
        <v>86</v>
      </c>
      <c r="C4" s="39" t="s">
        <v>68</v>
      </c>
      <c r="D4" s="39" t="s">
        <v>69</v>
      </c>
      <c r="E4" s="39" t="s">
        <v>70</v>
      </c>
      <c r="F4" s="39" t="s">
        <v>71</v>
      </c>
      <c r="G4" s="39" t="s">
        <v>72</v>
      </c>
      <c r="H4" s="39" t="s">
        <v>73</v>
      </c>
      <c r="I4" s="39" t="s">
        <v>74</v>
      </c>
      <c r="J4" s="39" t="s">
        <v>75</v>
      </c>
      <c r="K4" s="39" t="s">
        <v>76</v>
      </c>
      <c r="L4" s="39" t="s">
        <v>77</v>
      </c>
      <c r="M4" s="39" t="s">
        <v>78</v>
      </c>
      <c r="N4" s="39" t="s">
        <v>79</v>
      </c>
      <c r="O4" s="39" t="s">
        <v>297</v>
      </c>
      <c r="P4" s="39" t="s">
        <v>298</v>
      </c>
    </row>
    <row r="5" spans="1:16" x14ac:dyDescent="0.25">
      <c r="A5" s="40" t="s">
        <v>443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x14ac:dyDescent="0.25">
      <c r="A6" s="8" t="s">
        <v>444</v>
      </c>
      <c r="B6" s="4" t="s">
        <v>305</v>
      </c>
      <c r="C6" s="50">
        <f>Topline_ExC!C8</f>
        <v>1</v>
      </c>
      <c r="D6" s="50">
        <f>Topline_ExC!D8</f>
        <v>1</v>
      </c>
      <c r="E6" s="50">
        <f>Topline_ExC!E8</f>
        <v>1</v>
      </c>
      <c r="F6" s="50">
        <f>Topline_ExC!F8</f>
        <v>1.25</v>
      </c>
      <c r="G6" s="50">
        <f>Topline_ExC!G8</f>
        <v>1.25</v>
      </c>
      <c r="H6" s="50">
        <f>Topline_ExC!H8</f>
        <v>1.25</v>
      </c>
      <c r="I6" s="50">
        <f>Topline_ExC!I8</f>
        <v>1.25</v>
      </c>
      <c r="J6" s="50">
        <f>Topline_ExC!J8</f>
        <v>1.25</v>
      </c>
      <c r="K6" s="50">
        <f>Topline_ExC!K8</f>
        <v>1.25</v>
      </c>
      <c r="L6" s="50">
        <f>Topline_ExC!L8</f>
        <v>1.25</v>
      </c>
      <c r="M6" s="50">
        <f>Topline_ExC!M8</f>
        <v>1.25</v>
      </c>
      <c r="N6" s="50">
        <f>Topline_ExC!N8</f>
        <v>1.25</v>
      </c>
      <c r="O6" s="44">
        <f>AVERAGE(C6:N6)</f>
        <v>1.1875</v>
      </c>
    </row>
    <row r="7" spans="1:16" x14ac:dyDescent="0.25">
      <c r="A7" s="8" t="s">
        <v>306</v>
      </c>
      <c r="B7" s="4" t="s">
        <v>305</v>
      </c>
      <c r="C7" s="50">
        <f>Topline_ExC!C9</f>
        <v>1</v>
      </c>
      <c r="D7" s="50">
        <f>Topline_ExC!D9</f>
        <v>1</v>
      </c>
      <c r="E7" s="50">
        <f>Topline_ExC!E9</f>
        <v>1</v>
      </c>
      <c r="F7" s="50">
        <f>Topline_ExC!F9</f>
        <v>1.1499999999999999</v>
      </c>
      <c r="G7" s="50">
        <f>Topline_ExC!G9</f>
        <v>1.1499999999999999</v>
      </c>
      <c r="H7" s="50">
        <f>Topline_ExC!H9</f>
        <v>1.1499999999999999</v>
      </c>
      <c r="I7" s="50">
        <f>Topline_ExC!I9</f>
        <v>1.1499999999999999</v>
      </c>
      <c r="J7" s="50">
        <f>Topline_ExC!J9</f>
        <v>1.1499999999999999</v>
      </c>
      <c r="K7" s="50">
        <f>Topline_ExC!K9</f>
        <v>1.1499999999999999</v>
      </c>
      <c r="L7" s="50">
        <f>Topline_ExC!L9</f>
        <v>1.1499999999999999</v>
      </c>
      <c r="M7" s="50">
        <f>Topline_ExC!M9</f>
        <v>1.1499999999999999</v>
      </c>
      <c r="N7" s="50">
        <f>Topline_ExC!N9</f>
        <v>1.1499999999999999</v>
      </c>
      <c r="O7" s="44">
        <f>AVERAGE(C7:N7)</f>
        <v>1.1125000000000003</v>
      </c>
    </row>
    <row r="8" spans="1:16" x14ac:dyDescent="0.25">
      <c r="A8" s="40" t="s">
        <v>445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x14ac:dyDescent="0.25">
      <c r="A9" s="8" t="s">
        <v>446</v>
      </c>
      <c r="B9" s="4" t="s">
        <v>447</v>
      </c>
      <c r="C9" s="64">
        <f>Assumptions!$C$34*(1+Assumptions!$C$40)*C6</f>
        <v>61</v>
      </c>
      <c r="D9" s="64">
        <f>Assumptions!$C$34*(1+Assumptions!$C$40)*D6</f>
        <v>61</v>
      </c>
      <c r="E9" s="64">
        <f>Assumptions!$C$34*(1+Assumptions!$C$40)*E6</f>
        <v>61</v>
      </c>
      <c r="F9" s="64">
        <f>Assumptions!$C$34*(1+Assumptions!$C$40)*F6</f>
        <v>76.25</v>
      </c>
      <c r="G9" s="64">
        <f>Assumptions!$C$34*(1+Assumptions!$C$40)*G6</f>
        <v>76.25</v>
      </c>
      <c r="H9" s="64">
        <f>Assumptions!$C$34*(1+Assumptions!$C$40)*H6</f>
        <v>76.25</v>
      </c>
      <c r="I9" s="64">
        <f>Assumptions!$C$34*(1+Assumptions!$C$40)*I6</f>
        <v>76.25</v>
      </c>
      <c r="J9" s="64">
        <f>Assumptions!$C$34*(1+Assumptions!$C$40)*J6</f>
        <v>76.25</v>
      </c>
      <c r="K9" s="64">
        <f>Assumptions!$C$34*(1+Assumptions!$C$40)*K6</f>
        <v>76.25</v>
      </c>
      <c r="L9" s="64">
        <f>Assumptions!$C$34*(1+Assumptions!$C$40)*L6</f>
        <v>76.25</v>
      </c>
      <c r="M9" s="64">
        <f>Assumptions!$C$34*(1+Assumptions!$C$40)*M6</f>
        <v>76.25</v>
      </c>
      <c r="N9" s="64">
        <f>Assumptions!$C$34*(1+Assumptions!$C$40)*N6</f>
        <v>76.25</v>
      </c>
      <c r="O9" s="65">
        <f t="shared" ref="O9:O20" si="0">AVERAGE(C9:N9)</f>
        <v>72.4375</v>
      </c>
    </row>
    <row r="10" spans="1:16" x14ac:dyDescent="0.25">
      <c r="A10" s="8" t="s">
        <v>189</v>
      </c>
      <c r="B10" s="4" t="s">
        <v>447</v>
      </c>
      <c r="C10" s="64">
        <f>Assumptions!$C$35*(1+Assumptions!$C$40)*C6</f>
        <v>122</v>
      </c>
      <c r="D10" s="64">
        <f>Assumptions!$C$35*(1+Assumptions!$C$40)*D6</f>
        <v>122</v>
      </c>
      <c r="E10" s="64">
        <f>Assumptions!$C$35*(1+Assumptions!$C$40)*E6</f>
        <v>122</v>
      </c>
      <c r="F10" s="64">
        <f>Assumptions!$C$35*(1+Assumptions!$C$40)*F6</f>
        <v>152.5</v>
      </c>
      <c r="G10" s="64">
        <f>Assumptions!$C$35*(1+Assumptions!$C$40)*G6</f>
        <v>152.5</v>
      </c>
      <c r="H10" s="64">
        <f>Assumptions!$C$35*(1+Assumptions!$C$40)*H6</f>
        <v>152.5</v>
      </c>
      <c r="I10" s="64">
        <f>Assumptions!$C$35*(1+Assumptions!$C$40)*I6</f>
        <v>152.5</v>
      </c>
      <c r="J10" s="64">
        <f>Assumptions!$C$35*(1+Assumptions!$C$40)*J6</f>
        <v>152.5</v>
      </c>
      <c r="K10" s="64">
        <f>Assumptions!$C$35*(1+Assumptions!$C$40)*K6</f>
        <v>152.5</v>
      </c>
      <c r="L10" s="64">
        <f>Assumptions!$C$35*(1+Assumptions!$C$40)*L6</f>
        <v>152.5</v>
      </c>
      <c r="M10" s="64">
        <f>Assumptions!$C$35*(1+Assumptions!$C$40)*M6</f>
        <v>152.5</v>
      </c>
      <c r="N10" s="64">
        <f>Assumptions!$C$35*(1+Assumptions!$C$40)*N6</f>
        <v>152.5</v>
      </c>
      <c r="O10" s="65">
        <f t="shared" si="0"/>
        <v>144.875</v>
      </c>
    </row>
    <row r="11" spans="1:16" x14ac:dyDescent="0.25">
      <c r="A11" s="8" t="s">
        <v>191</v>
      </c>
      <c r="B11" s="4" t="s">
        <v>447</v>
      </c>
      <c r="C11" s="64">
        <f>Assumptions!$C$36*(1+Assumptions!$C$40)*C6</f>
        <v>48.8</v>
      </c>
      <c r="D11" s="64">
        <f>Assumptions!$C$36*(1+Assumptions!$C$40)*D6</f>
        <v>48.8</v>
      </c>
      <c r="E11" s="64">
        <f>Assumptions!$C$36*(1+Assumptions!$C$40)*E6</f>
        <v>48.8</v>
      </c>
      <c r="F11" s="64">
        <f>Assumptions!$C$36*(1+Assumptions!$C$40)*F6</f>
        <v>61</v>
      </c>
      <c r="G11" s="64">
        <f>Assumptions!$C$36*(1+Assumptions!$C$40)*G6</f>
        <v>61</v>
      </c>
      <c r="H11" s="64">
        <f>Assumptions!$C$36*(1+Assumptions!$C$40)*H6</f>
        <v>61</v>
      </c>
      <c r="I11" s="64">
        <f>Assumptions!$C$36*(1+Assumptions!$C$40)*I6</f>
        <v>61</v>
      </c>
      <c r="J11" s="64">
        <f>Assumptions!$C$36*(1+Assumptions!$C$40)*J6</f>
        <v>61</v>
      </c>
      <c r="K11" s="64">
        <f>Assumptions!$C$36*(1+Assumptions!$C$40)*K6</f>
        <v>61</v>
      </c>
      <c r="L11" s="64">
        <f>Assumptions!$C$36*(1+Assumptions!$C$40)*L6</f>
        <v>61</v>
      </c>
      <c r="M11" s="64">
        <f>Assumptions!$C$36*(1+Assumptions!$C$40)*M6</f>
        <v>61</v>
      </c>
      <c r="N11" s="64">
        <f>Assumptions!$C$36*(1+Assumptions!$C$40)*N6</f>
        <v>61</v>
      </c>
      <c r="O11" s="65">
        <f t="shared" si="0"/>
        <v>57.949999999999996</v>
      </c>
    </row>
    <row r="12" spans="1:16" x14ac:dyDescent="0.25">
      <c r="A12" s="8" t="s">
        <v>193</v>
      </c>
      <c r="B12" s="4" t="s">
        <v>447</v>
      </c>
      <c r="C12" s="64">
        <f>Assumptions!$C$37*(1+Assumptions!$C$40)*C6</f>
        <v>183</v>
      </c>
      <c r="D12" s="64">
        <f>Assumptions!$C$37*(1+Assumptions!$C$40)*D6</f>
        <v>183</v>
      </c>
      <c r="E12" s="64">
        <f>Assumptions!$C$37*(1+Assumptions!$C$40)*E6</f>
        <v>183</v>
      </c>
      <c r="F12" s="64">
        <f>Assumptions!$C$37*(1+Assumptions!$C$40)*F6</f>
        <v>228.75</v>
      </c>
      <c r="G12" s="64">
        <f>Assumptions!$C$37*(1+Assumptions!$C$40)*G6</f>
        <v>228.75</v>
      </c>
      <c r="H12" s="64">
        <f>Assumptions!$C$37*(1+Assumptions!$C$40)*H6</f>
        <v>228.75</v>
      </c>
      <c r="I12" s="64">
        <f>Assumptions!$C$37*(1+Assumptions!$C$40)*I6</f>
        <v>228.75</v>
      </c>
      <c r="J12" s="64">
        <f>Assumptions!$C$37*(1+Assumptions!$C$40)*J6</f>
        <v>228.75</v>
      </c>
      <c r="K12" s="64">
        <f>Assumptions!$C$37*(1+Assumptions!$C$40)*K6</f>
        <v>228.75</v>
      </c>
      <c r="L12" s="64">
        <f>Assumptions!$C$37*(1+Assumptions!$C$40)*L6</f>
        <v>228.75</v>
      </c>
      <c r="M12" s="64">
        <f>Assumptions!$C$37*(1+Assumptions!$C$40)*M6</f>
        <v>228.75</v>
      </c>
      <c r="N12" s="64">
        <f>Assumptions!$C$37*(1+Assumptions!$C$40)*N6</f>
        <v>228.75</v>
      </c>
      <c r="O12" s="65">
        <f t="shared" si="0"/>
        <v>217.3125</v>
      </c>
    </row>
    <row r="13" spans="1:16" x14ac:dyDescent="0.25">
      <c r="A13" s="8" t="s">
        <v>448</v>
      </c>
      <c r="B13" s="4" t="s">
        <v>447</v>
      </c>
      <c r="C13" s="64">
        <f>Assumptions!$C$45*(1+Assumptions!$C$40)*C6</f>
        <v>85.399999999999991</v>
      </c>
      <c r="D13" s="64">
        <f>Assumptions!$C$45*(1+Assumptions!$C$40)*D6</f>
        <v>85.399999999999991</v>
      </c>
      <c r="E13" s="64">
        <f>Assumptions!$C$45*(1+Assumptions!$C$40)*E6</f>
        <v>85.399999999999991</v>
      </c>
      <c r="F13" s="64">
        <f>Assumptions!$C$45*(1+Assumptions!$C$40)*F6</f>
        <v>106.74999999999999</v>
      </c>
      <c r="G13" s="64">
        <f>Assumptions!$C$45*(1+Assumptions!$C$40)*G6</f>
        <v>106.74999999999999</v>
      </c>
      <c r="H13" s="64">
        <f>Assumptions!$C$45*(1+Assumptions!$C$40)*H6</f>
        <v>106.74999999999999</v>
      </c>
      <c r="I13" s="64">
        <f>Assumptions!$C$45*(1+Assumptions!$C$40)*I6</f>
        <v>106.74999999999999</v>
      </c>
      <c r="J13" s="64">
        <f>Assumptions!$C$45*(1+Assumptions!$C$40)*J6</f>
        <v>106.74999999999999</v>
      </c>
      <c r="K13" s="64">
        <f>Assumptions!$C$45*(1+Assumptions!$C$40)*K6</f>
        <v>106.74999999999999</v>
      </c>
      <c r="L13" s="64">
        <f>Assumptions!$C$45*(1+Assumptions!$C$40)*L6</f>
        <v>106.74999999999999</v>
      </c>
      <c r="M13" s="64">
        <f>Assumptions!$C$45*(1+Assumptions!$C$40)*M6</f>
        <v>106.74999999999999</v>
      </c>
      <c r="N13" s="64">
        <f>Assumptions!$C$45*(1+Assumptions!$C$40)*N6</f>
        <v>106.74999999999999</v>
      </c>
      <c r="O13" s="65">
        <f t="shared" si="0"/>
        <v>101.41249999999998</v>
      </c>
    </row>
    <row r="14" spans="1:16" x14ac:dyDescent="0.25">
      <c r="A14" s="8" t="s">
        <v>449</v>
      </c>
      <c r="B14" s="4" t="s">
        <v>447</v>
      </c>
      <c r="C14" s="64">
        <f>Assumptions!$C$46*(1+Assumptions!$C$40)*C6</f>
        <v>73.2</v>
      </c>
      <c r="D14" s="64">
        <f>Assumptions!$C$46*(1+Assumptions!$C$40)*D6</f>
        <v>73.2</v>
      </c>
      <c r="E14" s="64">
        <f>Assumptions!$C$46*(1+Assumptions!$C$40)*E6</f>
        <v>73.2</v>
      </c>
      <c r="F14" s="64">
        <f>Assumptions!$C$46*(1+Assumptions!$C$40)*F6</f>
        <v>91.5</v>
      </c>
      <c r="G14" s="64">
        <f>Assumptions!$C$46*(1+Assumptions!$C$40)*G6</f>
        <v>91.5</v>
      </c>
      <c r="H14" s="64">
        <f>Assumptions!$C$46*(1+Assumptions!$C$40)*H6</f>
        <v>91.5</v>
      </c>
      <c r="I14" s="64">
        <f>Assumptions!$C$46*(1+Assumptions!$C$40)*I6</f>
        <v>91.5</v>
      </c>
      <c r="J14" s="64">
        <f>Assumptions!$C$46*(1+Assumptions!$C$40)*J6</f>
        <v>91.5</v>
      </c>
      <c r="K14" s="64">
        <f>Assumptions!$C$46*(1+Assumptions!$C$40)*K6</f>
        <v>91.5</v>
      </c>
      <c r="L14" s="64">
        <f>Assumptions!$C$46*(1+Assumptions!$C$40)*L6</f>
        <v>91.5</v>
      </c>
      <c r="M14" s="64">
        <f>Assumptions!$C$46*(1+Assumptions!$C$40)*M6</f>
        <v>91.5</v>
      </c>
      <c r="N14" s="64">
        <f>Assumptions!$C$46*(1+Assumptions!$C$40)*N6</f>
        <v>91.5</v>
      </c>
      <c r="O14" s="65">
        <f t="shared" si="0"/>
        <v>86.924999999999997</v>
      </c>
    </row>
    <row r="15" spans="1:16" x14ac:dyDescent="0.25">
      <c r="A15" s="8" t="s">
        <v>160</v>
      </c>
      <c r="B15" s="4" t="s">
        <v>447</v>
      </c>
      <c r="C15" s="64">
        <f>Assumptions!$C$47*(1+Assumptions!$C$40)*C6</f>
        <v>97.6</v>
      </c>
      <c r="D15" s="64">
        <f>Assumptions!$C$47*(1+Assumptions!$C$40)*D6</f>
        <v>97.6</v>
      </c>
      <c r="E15" s="64">
        <f>Assumptions!$C$47*(1+Assumptions!$C$40)*E6</f>
        <v>97.6</v>
      </c>
      <c r="F15" s="64">
        <f>Assumptions!$C$47*(1+Assumptions!$C$40)*F6</f>
        <v>122</v>
      </c>
      <c r="G15" s="64">
        <f>Assumptions!$C$47*(1+Assumptions!$C$40)*G6</f>
        <v>122</v>
      </c>
      <c r="H15" s="64">
        <f>Assumptions!$C$47*(1+Assumptions!$C$40)*H6</f>
        <v>122</v>
      </c>
      <c r="I15" s="64">
        <f>Assumptions!$C$47*(1+Assumptions!$C$40)*I6</f>
        <v>122</v>
      </c>
      <c r="J15" s="64">
        <f>Assumptions!$C$47*(1+Assumptions!$C$40)*J6</f>
        <v>122</v>
      </c>
      <c r="K15" s="64">
        <f>Assumptions!$C$47*(1+Assumptions!$C$40)*K6</f>
        <v>122</v>
      </c>
      <c r="L15" s="64">
        <f>Assumptions!$C$47*(1+Assumptions!$C$40)*L6</f>
        <v>122</v>
      </c>
      <c r="M15" s="64">
        <f>Assumptions!$C$47*(1+Assumptions!$C$40)*M6</f>
        <v>122</v>
      </c>
      <c r="N15" s="64">
        <f>Assumptions!$C$47*(1+Assumptions!$C$40)*N6</f>
        <v>122</v>
      </c>
      <c r="O15" s="65">
        <f t="shared" si="0"/>
        <v>115.89999999999999</v>
      </c>
    </row>
    <row r="16" spans="1:16" x14ac:dyDescent="0.25">
      <c r="A16" s="8" t="s">
        <v>450</v>
      </c>
      <c r="B16" s="4" t="s">
        <v>447</v>
      </c>
      <c r="C16" s="64">
        <f>Assumptions!$C$48*(1+Assumptions!$C$40)*C6</f>
        <v>54.9</v>
      </c>
      <c r="D16" s="64">
        <f>Assumptions!$C$48*(1+Assumptions!$C$40)*D6</f>
        <v>54.9</v>
      </c>
      <c r="E16" s="64">
        <f>Assumptions!$C$48*(1+Assumptions!$C$40)*E6</f>
        <v>54.9</v>
      </c>
      <c r="F16" s="64">
        <f>Assumptions!$C$48*(1+Assumptions!$C$40)*F6</f>
        <v>68.625</v>
      </c>
      <c r="G16" s="64">
        <f>Assumptions!$C$48*(1+Assumptions!$C$40)*G6</f>
        <v>68.625</v>
      </c>
      <c r="H16" s="64">
        <f>Assumptions!$C$48*(1+Assumptions!$C$40)*H6</f>
        <v>68.625</v>
      </c>
      <c r="I16" s="64">
        <f>Assumptions!$C$48*(1+Assumptions!$C$40)*I6</f>
        <v>68.625</v>
      </c>
      <c r="J16" s="64">
        <f>Assumptions!$C$48*(1+Assumptions!$C$40)*J6</f>
        <v>68.625</v>
      </c>
      <c r="K16" s="64">
        <f>Assumptions!$C$48*(1+Assumptions!$C$40)*K6</f>
        <v>68.625</v>
      </c>
      <c r="L16" s="64">
        <f>Assumptions!$C$48*(1+Assumptions!$C$40)*L6</f>
        <v>68.625</v>
      </c>
      <c r="M16" s="64">
        <f>Assumptions!$C$48*(1+Assumptions!$C$40)*M6</f>
        <v>68.625</v>
      </c>
      <c r="N16" s="64">
        <f>Assumptions!$C$48*(1+Assumptions!$C$40)*N6</f>
        <v>68.625</v>
      </c>
      <c r="O16" s="65">
        <f t="shared" si="0"/>
        <v>65.193750000000009</v>
      </c>
    </row>
    <row r="17" spans="1:16" x14ac:dyDescent="0.25">
      <c r="A17" s="8" t="s">
        <v>126</v>
      </c>
      <c r="B17" s="4" t="s">
        <v>447</v>
      </c>
      <c r="C17" s="64">
        <f>Assumptions!$C$38*(1+Assumptions!$C$40)*C6</f>
        <v>244</v>
      </c>
      <c r="D17" s="64">
        <f>Assumptions!$C$38*(1+Assumptions!$C$40)*D6</f>
        <v>244</v>
      </c>
      <c r="E17" s="64">
        <f>Assumptions!$C$38*(1+Assumptions!$C$40)*E6</f>
        <v>244</v>
      </c>
      <c r="F17" s="64">
        <f>Assumptions!$C$38*(1+Assumptions!$C$40)*F6</f>
        <v>305</v>
      </c>
      <c r="G17" s="64">
        <f>Assumptions!$C$38*(1+Assumptions!$C$40)*G6</f>
        <v>305</v>
      </c>
      <c r="H17" s="64">
        <f>Assumptions!$C$38*(1+Assumptions!$C$40)*H6</f>
        <v>305</v>
      </c>
      <c r="I17" s="64">
        <f>Assumptions!$C$38*(1+Assumptions!$C$40)*I6</f>
        <v>305</v>
      </c>
      <c r="J17" s="64">
        <f>Assumptions!$C$38*(1+Assumptions!$C$40)*J6</f>
        <v>305</v>
      </c>
      <c r="K17" s="64">
        <f>Assumptions!$C$38*(1+Assumptions!$C$40)*K6</f>
        <v>305</v>
      </c>
      <c r="L17" s="64">
        <f>Assumptions!$C$38*(1+Assumptions!$C$40)*L6</f>
        <v>305</v>
      </c>
      <c r="M17" s="64">
        <f>Assumptions!$C$38*(1+Assumptions!$C$40)*M6</f>
        <v>305</v>
      </c>
      <c r="N17" s="64">
        <f>Assumptions!$C$38*(1+Assumptions!$C$40)*N6</f>
        <v>305</v>
      </c>
      <c r="O17" s="65">
        <f t="shared" si="0"/>
        <v>289.75</v>
      </c>
    </row>
    <row r="18" spans="1:16" x14ac:dyDescent="0.25">
      <c r="A18" s="8" t="s">
        <v>451</v>
      </c>
      <c r="B18" s="4" t="s">
        <v>447</v>
      </c>
      <c r="C18" s="64">
        <f>Assumptions!$C$39*(1+Assumptions!$C$40)*C6</f>
        <v>183</v>
      </c>
      <c r="D18" s="64">
        <f>Assumptions!$C$39*(1+Assumptions!$C$40)*D6</f>
        <v>183</v>
      </c>
      <c r="E18" s="64">
        <f>Assumptions!$C$39*(1+Assumptions!$C$40)*E6</f>
        <v>183</v>
      </c>
      <c r="F18" s="64">
        <f>Assumptions!$C$39*(1+Assumptions!$C$40)*F6</f>
        <v>228.75</v>
      </c>
      <c r="G18" s="64">
        <f>Assumptions!$C$39*(1+Assumptions!$C$40)*G6</f>
        <v>228.75</v>
      </c>
      <c r="H18" s="64">
        <f>Assumptions!$C$39*(1+Assumptions!$C$40)*H6</f>
        <v>228.75</v>
      </c>
      <c r="I18" s="64">
        <f>Assumptions!$C$39*(1+Assumptions!$C$40)*I6</f>
        <v>228.75</v>
      </c>
      <c r="J18" s="64">
        <f>Assumptions!$C$39*(1+Assumptions!$C$40)*J6</f>
        <v>228.75</v>
      </c>
      <c r="K18" s="64">
        <f>Assumptions!$C$39*(1+Assumptions!$C$40)*K6</f>
        <v>228.75</v>
      </c>
      <c r="L18" s="64">
        <f>Assumptions!$C$39*(1+Assumptions!$C$40)*L6</f>
        <v>228.75</v>
      </c>
      <c r="M18" s="64">
        <f>Assumptions!$C$39*(1+Assumptions!$C$40)*M6</f>
        <v>228.75</v>
      </c>
      <c r="N18" s="64">
        <f>Assumptions!$C$39*(1+Assumptions!$C$40)*N6</f>
        <v>228.75</v>
      </c>
      <c r="O18" s="65">
        <f t="shared" si="0"/>
        <v>217.3125</v>
      </c>
    </row>
    <row r="19" spans="1:16" x14ac:dyDescent="0.25">
      <c r="A19" s="8" t="s">
        <v>452</v>
      </c>
      <c r="B19" s="4" t="s">
        <v>447</v>
      </c>
      <c r="C19" s="64">
        <f>Assumptions!$C$49*(1+Assumptions!$C$40)*C6</f>
        <v>146.4</v>
      </c>
      <c r="D19" s="64">
        <f>Assumptions!$C$49*(1+Assumptions!$C$40)*D6</f>
        <v>146.4</v>
      </c>
      <c r="E19" s="64">
        <f>Assumptions!$C$49*(1+Assumptions!$C$40)*E6</f>
        <v>146.4</v>
      </c>
      <c r="F19" s="64">
        <f>Assumptions!$C$49*(1+Assumptions!$C$40)*F6</f>
        <v>183</v>
      </c>
      <c r="G19" s="64">
        <f>Assumptions!$C$49*(1+Assumptions!$C$40)*G6</f>
        <v>183</v>
      </c>
      <c r="H19" s="64">
        <f>Assumptions!$C$49*(1+Assumptions!$C$40)*H6</f>
        <v>183</v>
      </c>
      <c r="I19" s="64">
        <f>Assumptions!$C$49*(1+Assumptions!$C$40)*I6</f>
        <v>183</v>
      </c>
      <c r="J19" s="64">
        <f>Assumptions!$C$49*(1+Assumptions!$C$40)*J6</f>
        <v>183</v>
      </c>
      <c r="K19" s="64">
        <f>Assumptions!$C$49*(1+Assumptions!$C$40)*K6</f>
        <v>183</v>
      </c>
      <c r="L19" s="64">
        <f>Assumptions!$C$49*(1+Assumptions!$C$40)*L6</f>
        <v>183</v>
      </c>
      <c r="M19" s="64">
        <f>Assumptions!$C$49*(1+Assumptions!$C$40)*M6</f>
        <v>183</v>
      </c>
      <c r="N19" s="64">
        <f>Assumptions!$C$49*(1+Assumptions!$C$40)*N6</f>
        <v>183</v>
      </c>
      <c r="O19" s="65">
        <f t="shared" si="0"/>
        <v>173.85</v>
      </c>
    </row>
    <row r="20" spans="1:16" x14ac:dyDescent="0.25">
      <c r="A20" s="8" t="s">
        <v>453</v>
      </c>
      <c r="B20" s="4" t="s">
        <v>454</v>
      </c>
      <c r="C20" s="43">
        <f>Assumptions!$C$43*(1+Assumptions!$C$40)*C6</f>
        <v>0.61</v>
      </c>
      <c r="D20" s="43">
        <f>Assumptions!$C$43*(1+Assumptions!$C$40)*D6</f>
        <v>0.61</v>
      </c>
      <c r="E20" s="43">
        <f>Assumptions!$C$43*(1+Assumptions!$C$40)*E6</f>
        <v>0.61</v>
      </c>
      <c r="F20" s="43">
        <f>Assumptions!$C$43*(1+Assumptions!$C$40)*F6</f>
        <v>0.76249999999999996</v>
      </c>
      <c r="G20" s="43">
        <f>Assumptions!$C$43*(1+Assumptions!$C$40)*G6</f>
        <v>0.76249999999999996</v>
      </c>
      <c r="H20" s="43">
        <f>Assumptions!$C$43*(1+Assumptions!$C$40)*H6</f>
        <v>0.76249999999999996</v>
      </c>
      <c r="I20" s="43">
        <f>Assumptions!$C$43*(1+Assumptions!$C$40)*I6</f>
        <v>0.76249999999999996</v>
      </c>
      <c r="J20" s="43">
        <f>Assumptions!$C$43*(1+Assumptions!$C$40)*J6</f>
        <v>0.76249999999999996</v>
      </c>
      <c r="K20" s="43">
        <f>Assumptions!$C$43*(1+Assumptions!$C$40)*K6</f>
        <v>0.76249999999999996</v>
      </c>
      <c r="L20" s="43">
        <f>Assumptions!$C$43*(1+Assumptions!$C$40)*L6</f>
        <v>0.76249999999999996</v>
      </c>
      <c r="M20" s="43">
        <f>Assumptions!$C$43*(1+Assumptions!$C$40)*M6</f>
        <v>0.76249999999999996</v>
      </c>
      <c r="N20" s="43">
        <f>Assumptions!$C$43*(1+Assumptions!$C$40)*N6</f>
        <v>0.76249999999999996</v>
      </c>
      <c r="O20" s="44">
        <f t="shared" si="0"/>
        <v>0.7243750000000001</v>
      </c>
    </row>
    <row r="21" spans="1:16" x14ac:dyDescent="0.25">
      <c r="A21" s="40" t="s">
        <v>455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x14ac:dyDescent="0.25">
      <c r="A22" s="8" t="s">
        <v>456</v>
      </c>
      <c r="B22" s="4" t="s">
        <v>326</v>
      </c>
      <c r="C22" s="56">
        <f>Capacity_ExD!C31*C9</f>
        <v>5226.9351019351025</v>
      </c>
      <c r="D22" s="56">
        <f>Capacity_ExD!D31*D9</f>
        <v>5797.0632762299438</v>
      </c>
      <c r="E22" s="56">
        <f>Capacity_ExD!E31*E9</f>
        <v>4587.2512903762918</v>
      </c>
      <c r="F22" s="56">
        <f>Capacity_ExD!F31*F9</f>
        <v>6196.580594367053</v>
      </c>
      <c r="G22" s="56">
        <f>Capacity_ExD!G31*G9</f>
        <v>6584.9804131054134</v>
      </c>
      <c r="H22" s="56">
        <f>Capacity_ExD!H31*H9</f>
        <v>7287.6633879238052</v>
      </c>
      <c r="I22" s="56">
        <f>Capacity_ExD!I31*I9</f>
        <v>8138.5796880588559</v>
      </c>
      <c r="J22" s="56">
        <f>Capacity_ExD!J31*J9</f>
        <v>8526.9795067972154</v>
      </c>
      <c r="K22" s="56">
        <f>Capacity_ExD!K31*K9</f>
        <v>9914.5289509872855</v>
      </c>
      <c r="L22" s="56">
        <f>Capacity_ExD!L31*L9</f>
        <v>10294.020517002287</v>
      </c>
      <c r="M22" s="56">
        <f>Capacity_ExD!M31*M9</f>
        <v>11277.135287551957</v>
      </c>
      <c r="N22" s="56">
        <f>Capacity_ExD!N31*N9</f>
        <v>10673.512083017293</v>
      </c>
      <c r="O22" s="42">
        <f t="shared" ref="O22:O27" si="1">SUM(C22:N22)</f>
        <v>94505.230097352498</v>
      </c>
      <c r="P22" s="45" t="s">
        <v>457</v>
      </c>
    </row>
    <row r="23" spans="1:16" x14ac:dyDescent="0.25">
      <c r="A23" s="8" t="s">
        <v>458</v>
      </c>
      <c r="B23" s="4" t="s">
        <v>326</v>
      </c>
      <c r="C23" s="56">
        <f>Capacity_ExD!C37*C9</f>
        <v>0</v>
      </c>
      <c r="D23" s="56">
        <f>Capacity_ExD!D37*D9</f>
        <v>0</v>
      </c>
      <c r="E23" s="56">
        <f>Capacity_ExD!E37*E9</f>
        <v>977.92945480445519</v>
      </c>
      <c r="F23" s="56">
        <f>Capacity_ExD!F37*F9</f>
        <v>481.63629984984345</v>
      </c>
      <c r="G23" s="56">
        <f>Capacity_ExD!G37*G9</f>
        <v>0</v>
      </c>
      <c r="H23" s="56">
        <f>Capacity_ExD!H37*H9</f>
        <v>0</v>
      </c>
      <c r="I23" s="56">
        <f>Capacity_ExD!I37*I9</f>
        <v>0</v>
      </c>
      <c r="J23" s="56">
        <f>Capacity_ExD!J37*J9</f>
        <v>0</v>
      </c>
      <c r="K23" s="56">
        <f>Capacity_ExD!K37*K9</f>
        <v>0</v>
      </c>
      <c r="L23" s="56">
        <f>Capacity_ExD!L37*L9</f>
        <v>0</v>
      </c>
      <c r="M23" s="56">
        <f>Capacity_ExD!M37*M9</f>
        <v>0</v>
      </c>
      <c r="N23" s="56">
        <f>Capacity_ExD!N37*N9</f>
        <v>152.53779303258625</v>
      </c>
      <c r="O23" s="42">
        <f t="shared" si="1"/>
        <v>1612.1035476868849</v>
      </c>
      <c r="P23" s="45" t="s">
        <v>459</v>
      </c>
    </row>
    <row r="24" spans="1:16" x14ac:dyDescent="0.25">
      <c r="A24" s="8" t="s">
        <v>460</v>
      </c>
      <c r="B24" s="4" t="s">
        <v>326</v>
      </c>
      <c r="C24" s="56">
        <f>Capacity_ExD!C25*C20</f>
        <v>161.04</v>
      </c>
      <c r="D24" s="56">
        <f>Capacity_ExD!D25*D20</f>
        <v>178.52666666666664</v>
      </c>
      <c r="E24" s="56">
        <f>Capacity_ExD!E25*E20</f>
        <v>141.215</v>
      </c>
      <c r="F24" s="56">
        <f>Capacity_ExD!F25*F20</f>
        <v>190.94270833333331</v>
      </c>
      <c r="G24" s="56">
        <f>Capacity_ExD!G25*G20</f>
        <v>202.82499999999999</v>
      </c>
      <c r="H24" s="56">
        <f>Capacity_ExD!H25*H20</f>
        <v>224.04791666666668</v>
      </c>
      <c r="I24" s="56">
        <f>Capacity_ExD!I25*I20</f>
        <v>250.35416666666669</v>
      </c>
      <c r="J24" s="56">
        <f>Capacity_ExD!J25*J20</f>
        <v>262.2364583333333</v>
      </c>
      <c r="K24" s="56">
        <f>Capacity_ExD!K25*K20</f>
        <v>305.50833333333327</v>
      </c>
      <c r="L24" s="56">
        <f>Capacity_ExD!L25*L20</f>
        <v>317.80364583333329</v>
      </c>
      <c r="M24" s="56">
        <f>Capacity_ExD!M25*M20</f>
        <v>348.71666666666664</v>
      </c>
      <c r="N24" s="56">
        <f>Capacity_ExD!N25*N20</f>
        <v>330.09895833333331</v>
      </c>
      <c r="O24" s="42">
        <f t="shared" si="1"/>
        <v>2913.3155208333333</v>
      </c>
    </row>
    <row r="25" spans="1:16" x14ac:dyDescent="0.25">
      <c r="A25" s="8" t="s">
        <v>461</v>
      </c>
      <c r="B25" s="4" t="s">
        <v>326</v>
      </c>
      <c r="C25" s="56">
        <f>Capacity_ExD!C41*C10</f>
        <v>732</v>
      </c>
      <c r="D25" s="56">
        <f>Capacity_ExD!D41*D10</f>
        <v>854</v>
      </c>
      <c r="E25" s="56">
        <f>Capacity_ExD!E41*E10</f>
        <v>854</v>
      </c>
      <c r="F25" s="56">
        <f>Capacity_ExD!F41*F10</f>
        <v>1067.5</v>
      </c>
      <c r="G25" s="56">
        <f>Capacity_ExD!G41*G10</f>
        <v>1067.5</v>
      </c>
      <c r="H25" s="56">
        <f>Capacity_ExD!H41*H10</f>
        <v>1067.5</v>
      </c>
      <c r="I25" s="56">
        <f>Capacity_ExD!I41*I10</f>
        <v>1220</v>
      </c>
      <c r="J25" s="56">
        <f>Capacity_ExD!J41*J10</f>
        <v>1220</v>
      </c>
      <c r="K25" s="56">
        <f>Capacity_ExD!K41*K10</f>
        <v>1372.5</v>
      </c>
      <c r="L25" s="56">
        <f>Capacity_ExD!L41*L10</f>
        <v>1525</v>
      </c>
      <c r="M25" s="56">
        <f>Capacity_ExD!M41*M10</f>
        <v>1525</v>
      </c>
      <c r="N25" s="56">
        <f>Capacity_ExD!N41*N10</f>
        <v>1525</v>
      </c>
      <c r="O25" s="42">
        <f t="shared" si="1"/>
        <v>14030</v>
      </c>
    </row>
    <row r="26" spans="1:16" x14ac:dyDescent="0.25">
      <c r="A26" s="8" t="s">
        <v>122</v>
      </c>
      <c r="B26" s="4" t="s">
        <v>326</v>
      </c>
      <c r="C26" s="56">
        <f>Capacity_ExD!C43*C11</f>
        <v>146.39999999999998</v>
      </c>
      <c r="D26" s="56">
        <f>Capacity_ExD!D43*D11</f>
        <v>146.39999999999998</v>
      </c>
      <c r="E26" s="56">
        <f>Capacity_ExD!E43*E11</f>
        <v>146.39999999999998</v>
      </c>
      <c r="F26" s="56">
        <f>Capacity_ExD!F43*F11</f>
        <v>183</v>
      </c>
      <c r="G26" s="56">
        <f>Capacity_ExD!G43*G11</f>
        <v>183</v>
      </c>
      <c r="H26" s="56">
        <f>Capacity_ExD!H43*H11</f>
        <v>183</v>
      </c>
      <c r="I26" s="56">
        <f>Capacity_ExD!I43*I11</f>
        <v>183</v>
      </c>
      <c r="J26" s="56">
        <f>Capacity_ExD!J43*J11</f>
        <v>183</v>
      </c>
      <c r="K26" s="56">
        <f>Capacity_ExD!K43*K11</f>
        <v>244</v>
      </c>
      <c r="L26" s="56">
        <f>Capacity_ExD!L43*L11</f>
        <v>244</v>
      </c>
      <c r="M26" s="56">
        <f>Capacity_ExD!M43*M11</f>
        <v>244</v>
      </c>
      <c r="N26" s="56">
        <f>Capacity_ExD!N43*N11</f>
        <v>244</v>
      </c>
      <c r="O26" s="42">
        <f t="shared" si="1"/>
        <v>2330.1999999999998</v>
      </c>
    </row>
    <row r="27" spans="1:16" x14ac:dyDescent="0.25">
      <c r="A27" s="57" t="s">
        <v>462</v>
      </c>
      <c r="B27" s="52" t="s">
        <v>326</v>
      </c>
      <c r="C27" s="58">
        <f t="shared" ref="C27:N27" si="2">SUM(C22:C26)</f>
        <v>6266.3751019351021</v>
      </c>
      <c r="D27" s="58">
        <f t="shared" si="2"/>
        <v>6975.98994289661</v>
      </c>
      <c r="E27" s="58">
        <f t="shared" si="2"/>
        <v>6706.795745180747</v>
      </c>
      <c r="F27" s="58">
        <f t="shared" si="2"/>
        <v>8119.6596025502295</v>
      </c>
      <c r="G27" s="58">
        <f t="shared" si="2"/>
        <v>8038.3054131054132</v>
      </c>
      <c r="H27" s="58">
        <f t="shared" si="2"/>
        <v>8762.2113045904716</v>
      </c>
      <c r="I27" s="58">
        <f t="shared" si="2"/>
        <v>9791.9338547255229</v>
      </c>
      <c r="J27" s="58">
        <f t="shared" si="2"/>
        <v>10192.215965130548</v>
      </c>
      <c r="K27" s="58">
        <f t="shared" si="2"/>
        <v>11836.537284320619</v>
      </c>
      <c r="L27" s="58">
        <f t="shared" si="2"/>
        <v>12380.824162835621</v>
      </c>
      <c r="M27" s="58">
        <f t="shared" si="2"/>
        <v>13394.851954218624</v>
      </c>
      <c r="N27" s="58">
        <f t="shared" si="2"/>
        <v>12925.148834383213</v>
      </c>
      <c r="O27" s="54">
        <f t="shared" si="1"/>
        <v>115390.84916587273</v>
      </c>
    </row>
    <row r="28" spans="1:16" x14ac:dyDescent="0.25">
      <c r="A28" s="40" t="s">
        <v>463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1:16" x14ac:dyDescent="0.25">
      <c r="A29" s="8" t="s">
        <v>464</v>
      </c>
      <c r="B29" s="4" t="s">
        <v>326</v>
      </c>
      <c r="C29" s="56">
        <f>Capacity_ExD!C42*C12</f>
        <v>183</v>
      </c>
      <c r="D29" s="56">
        <f>Capacity_ExD!D42*D12</f>
        <v>366</v>
      </c>
      <c r="E29" s="56">
        <f>Capacity_ExD!E42*E12</f>
        <v>366</v>
      </c>
      <c r="F29" s="56">
        <f>Capacity_ExD!F42*F12</f>
        <v>457.5</v>
      </c>
      <c r="G29" s="56">
        <f>Capacity_ExD!G42*G12</f>
        <v>457.5</v>
      </c>
      <c r="H29" s="56">
        <f>Capacity_ExD!H42*H12</f>
        <v>457.5</v>
      </c>
      <c r="I29" s="56">
        <f>Capacity_ExD!I42*I12</f>
        <v>457.5</v>
      </c>
      <c r="J29" s="56">
        <f>Capacity_ExD!J42*J12</f>
        <v>457.5</v>
      </c>
      <c r="K29" s="56">
        <f>Capacity_ExD!K42*K12</f>
        <v>457.5</v>
      </c>
      <c r="L29" s="56">
        <f>Capacity_ExD!L42*L12</f>
        <v>457.5</v>
      </c>
      <c r="M29" s="56">
        <f>Capacity_ExD!M42*M12</f>
        <v>457.5</v>
      </c>
      <c r="N29" s="56">
        <f>Capacity_ExD!N42*N12</f>
        <v>457.5</v>
      </c>
      <c r="O29" s="42">
        <f t="shared" ref="O29:O36" si="3">SUM(C29:N29)</f>
        <v>5032.5</v>
      </c>
    </row>
    <row r="30" spans="1:16" x14ac:dyDescent="0.25">
      <c r="A30" s="8" t="s">
        <v>465</v>
      </c>
      <c r="B30" s="4" t="s">
        <v>326</v>
      </c>
      <c r="C30" s="56">
        <f>Capacity_ExD!C44*C13</f>
        <v>170.79999999999998</v>
      </c>
      <c r="D30" s="56">
        <f>Capacity_ExD!D44*D13</f>
        <v>170.79999999999998</v>
      </c>
      <c r="E30" s="56">
        <f>Capacity_ExD!E44*E13</f>
        <v>170.79999999999998</v>
      </c>
      <c r="F30" s="56">
        <f>Capacity_ExD!F44*F13</f>
        <v>213.49999999999997</v>
      </c>
      <c r="G30" s="56">
        <f>Capacity_ExD!G44*G13</f>
        <v>213.49999999999997</v>
      </c>
      <c r="H30" s="56">
        <f>Capacity_ExD!H44*H13</f>
        <v>213.49999999999997</v>
      </c>
      <c r="I30" s="56">
        <f>Capacity_ExD!I44*I13</f>
        <v>213.49999999999997</v>
      </c>
      <c r="J30" s="56">
        <f>Capacity_ExD!J44*J13</f>
        <v>213.49999999999997</v>
      </c>
      <c r="K30" s="56">
        <f>Capacity_ExD!K44*K13</f>
        <v>213.49999999999997</v>
      </c>
      <c r="L30" s="56">
        <f>Capacity_ExD!L44*L13</f>
        <v>213.49999999999997</v>
      </c>
      <c r="M30" s="56">
        <f>Capacity_ExD!M44*M13</f>
        <v>213.49999999999997</v>
      </c>
      <c r="N30" s="56">
        <f>Capacity_ExD!N44*N13</f>
        <v>213.49999999999997</v>
      </c>
      <c r="O30" s="42">
        <f t="shared" si="3"/>
        <v>2433.8999999999996</v>
      </c>
    </row>
    <row r="31" spans="1:16" x14ac:dyDescent="0.25">
      <c r="A31" s="8" t="s">
        <v>466</v>
      </c>
      <c r="B31" s="4" t="s">
        <v>326</v>
      </c>
      <c r="C31" s="56">
        <f>Capacity_ExD!C45*C14</f>
        <v>146.4</v>
      </c>
      <c r="D31" s="56">
        <f>Capacity_ExD!D45*D14</f>
        <v>146.4</v>
      </c>
      <c r="E31" s="56">
        <f>Capacity_ExD!E45*E14</f>
        <v>146.4</v>
      </c>
      <c r="F31" s="56">
        <f>Capacity_ExD!F45*F14</f>
        <v>183</v>
      </c>
      <c r="G31" s="56">
        <f>Capacity_ExD!G45*G14</f>
        <v>183</v>
      </c>
      <c r="H31" s="56">
        <f>Capacity_ExD!H45*H14</f>
        <v>183</v>
      </c>
      <c r="I31" s="56">
        <f>Capacity_ExD!I45*I14</f>
        <v>183</v>
      </c>
      <c r="J31" s="56">
        <f>Capacity_ExD!J45*J14</f>
        <v>183</v>
      </c>
      <c r="K31" s="56">
        <f>Capacity_ExD!K45*K14</f>
        <v>274.5</v>
      </c>
      <c r="L31" s="56">
        <f>Capacity_ExD!L45*L14</f>
        <v>274.5</v>
      </c>
      <c r="M31" s="56">
        <f>Capacity_ExD!M45*M14</f>
        <v>274.5</v>
      </c>
      <c r="N31" s="56">
        <f>Capacity_ExD!N45*N14</f>
        <v>274.5</v>
      </c>
      <c r="O31" s="42">
        <f t="shared" si="3"/>
        <v>2452.1999999999998</v>
      </c>
    </row>
    <row r="32" spans="1:16" x14ac:dyDescent="0.25">
      <c r="A32" s="8" t="s">
        <v>160</v>
      </c>
      <c r="B32" s="4" t="s">
        <v>326</v>
      </c>
      <c r="C32" s="56">
        <f>Capacity_ExD!C46*C15</f>
        <v>195.2</v>
      </c>
      <c r="D32" s="56">
        <f>Capacity_ExD!D46*D15</f>
        <v>195.2</v>
      </c>
      <c r="E32" s="56">
        <f>Capacity_ExD!E46*E15</f>
        <v>195.2</v>
      </c>
      <c r="F32" s="56">
        <f>Capacity_ExD!F46*F15</f>
        <v>244</v>
      </c>
      <c r="G32" s="56">
        <f>Capacity_ExD!G46*G15</f>
        <v>244</v>
      </c>
      <c r="H32" s="56">
        <f>Capacity_ExD!H46*H15</f>
        <v>244</v>
      </c>
      <c r="I32" s="56">
        <f>Capacity_ExD!I46*I15</f>
        <v>244</v>
      </c>
      <c r="J32" s="56">
        <f>Capacity_ExD!J46*J15</f>
        <v>244</v>
      </c>
      <c r="K32" s="56">
        <f>Capacity_ExD!K46*K15</f>
        <v>244</v>
      </c>
      <c r="L32" s="56">
        <f>Capacity_ExD!L46*L15</f>
        <v>244</v>
      </c>
      <c r="M32" s="56">
        <f>Capacity_ExD!M46*M15</f>
        <v>244</v>
      </c>
      <c r="N32" s="56">
        <f>Capacity_ExD!N46*N15</f>
        <v>244</v>
      </c>
      <c r="O32" s="42">
        <f t="shared" si="3"/>
        <v>2781.6</v>
      </c>
    </row>
    <row r="33" spans="1:16" x14ac:dyDescent="0.25">
      <c r="A33" s="8" t="s">
        <v>467</v>
      </c>
      <c r="B33" s="4" t="s">
        <v>326</v>
      </c>
      <c r="C33" s="56">
        <f>Capacity_ExD!C47*C16</f>
        <v>109.8</v>
      </c>
      <c r="D33" s="56">
        <f>Capacity_ExD!D47*D16</f>
        <v>109.8</v>
      </c>
      <c r="E33" s="56">
        <f>Capacity_ExD!E47*E16</f>
        <v>109.8</v>
      </c>
      <c r="F33" s="56">
        <f>Capacity_ExD!F47*F16</f>
        <v>137.25</v>
      </c>
      <c r="G33" s="56">
        <f>Capacity_ExD!G47*G16</f>
        <v>137.25</v>
      </c>
      <c r="H33" s="56">
        <f>Capacity_ExD!H47*H16</f>
        <v>137.25</v>
      </c>
      <c r="I33" s="56">
        <f>Capacity_ExD!I47*I16</f>
        <v>137.25</v>
      </c>
      <c r="J33" s="56">
        <f>Capacity_ExD!J47*J16</f>
        <v>137.25</v>
      </c>
      <c r="K33" s="56">
        <f>Capacity_ExD!K47*K16</f>
        <v>137.25</v>
      </c>
      <c r="L33" s="56">
        <f>Capacity_ExD!L47*L16</f>
        <v>137.25</v>
      </c>
      <c r="M33" s="56">
        <f>Capacity_ExD!M47*M16</f>
        <v>137.25</v>
      </c>
      <c r="N33" s="56">
        <f>Capacity_ExD!N47*N16</f>
        <v>137.25</v>
      </c>
      <c r="O33" s="42">
        <f t="shared" si="3"/>
        <v>1564.65</v>
      </c>
    </row>
    <row r="34" spans="1:16" x14ac:dyDescent="0.25">
      <c r="A34" s="8" t="s">
        <v>468</v>
      </c>
      <c r="B34" s="4" t="s">
        <v>326</v>
      </c>
      <c r="C34" s="56">
        <f>Capacity_ExD!C48*C17+Capacity_ExD!C49*C18</f>
        <v>427</v>
      </c>
      <c r="D34" s="56">
        <f>Capacity_ExD!D48*D17+Capacity_ExD!D49*D18</f>
        <v>427</v>
      </c>
      <c r="E34" s="56">
        <f>Capacity_ExD!E48*E17+Capacity_ExD!E49*E18</f>
        <v>427</v>
      </c>
      <c r="F34" s="56">
        <f>Capacity_ExD!F48*F17+Capacity_ExD!F49*F18</f>
        <v>533.75</v>
      </c>
      <c r="G34" s="56">
        <f>Capacity_ExD!G48*G17+Capacity_ExD!G49*G18</f>
        <v>533.75</v>
      </c>
      <c r="H34" s="56">
        <f>Capacity_ExD!H48*H17+Capacity_ExD!H49*H18</f>
        <v>533.75</v>
      </c>
      <c r="I34" s="56">
        <f>Capacity_ExD!I48*I17+Capacity_ExD!I49*I18</f>
        <v>533.75</v>
      </c>
      <c r="J34" s="56">
        <f>Capacity_ExD!J48*J17+Capacity_ExD!J49*J18</f>
        <v>533.75</v>
      </c>
      <c r="K34" s="56">
        <f>Capacity_ExD!K48*K17+Capacity_ExD!K49*K18</f>
        <v>533.75</v>
      </c>
      <c r="L34" s="56">
        <f>Capacity_ExD!L48*L17+Capacity_ExD!L49*L18</f>
        <v>533.75</v>
      </c>
      <c r="M34" s="56">
        <f>Capacity_ExD!M48*M17+Capacity_ExD!M49*M18</f>
        <v>533.75</v>
      </c>
      <c r="N34" s="56">
        <f>Capacity_ExD!N48*N17+Capacity_ExD!N49*N18</f>
        <v>533.75</v>
      </c>
      <c r="O34" s="42">
        <f t="shared" si="3"/>
        <v>6084.75</v>
      </c>
    </row>
    <row r="35" spans="1:16" x14ac:dyDescent="0.25">
      <c r="A35" s="8" t="s">
        <v>469</v>
      </c>
      <c r="B35" s="4" t="s">
        <v>326</v>
      </c>
      <c r="C35" s="56">
        <f>Capacity_ExD!C50*C19</f>
        <v>292.8</v>
      </c>
      <c r="D35" s="56">
        <f>Capacity_ExD!D50*D19</f>
        <v>292.8</v>
      </c>
      <c r="E35" s="56">
        <f>Capacity_ExD!E50*E19</f>
        <v>292.8</v>
      </c>
      <c r="F35" s="56">
        <f>Capacity_ExD!F50*F19</f>
        <v>366</v>
      </c>
      <c r="G35" s="56">
        <f>Capacity_ExD!G50*G19</f>
        <v>366</v>
      </c>
      <c r="H35" s="56">
        <f>Capacity_ExD!H50*H19</f>
        <v>366</v>
      </c>
      <c r="I35" s="56">
        <f>Capacity_ExD!I50*I19</f>
        <v>366</v>
      </c>
      <c r="J35" s="56">
        <f>Capacity_ExD!J50*J19</f>
        <v>366</v>
      </c>
      <c r="K35" s="56">
        <f>Capacity_ExD!K50*K19</f>
        <v>366</v>
      </c>
      <c r="L35" s="56">
        <f>Capacity_ExD!L50*L19</f>
        <v>366</v>
      </c>
      <c r="M35" s="56">
        <f>Capacity_ExD!M50*M19</f>
        <v>366</v>
      </c>
      <c r="N35" s="56">
        <f>Capacity_ExD!N50*N19</f>
        <v>366</v>
      </c>
      <c r="O35" s="42">
        <f t="shared" si="3"/>
        <v>4172.3999999999996</v>
      </c>
    </row>
    <row r="36" spans="1:16" x14ac:dyDescent="0.25">
      <c r="A36" s="57" t="s">
        <v>390</v>
      </c>
      <c r="B36" s="52" t="s">
        <v>326</v>
      </c>
      <c r="C36" s="58">
        <f t="shared" ref="C36:N36" si="4">SUM(C29:C35)</f>
        <v>1524.9999999999998</v>
      </c>
      <c r="D36" s="58">
        <f t="shared" si="4"/>
        <v>1707.9999999999998</v>
      </c>
      <c r="E36" s="58">
        <f t="shared" si="4"/>
        <v>1707.9999999999998</v>
      </c>
      <c r="F36" s="58">
        <f t="shared" si="4"/>
        <v>2135</v>
      </c>
      <c r="G36" s="58">
        <f t="shared" si="4"/>
        <v>2135</v>
      </c>
      <c r="H36" s="58">
        <f t="shared" si="4"/>
        <v>2135</v>
      </c>
      <c r="I36" s="58">
        <f t="shared" si="4"/>
        <v>2135</v>
      </c>
      <c r="J36" s="58">
        <f t="shared" si="4"/>
        <v>2135</v>
      </c>
      <c r="K36" s="58">
        <f t="shared" si="4"/>
        <v>2226.5</v>
      </c>
      <c r="L36" s="58">
        <f t="shared" si="4"/>
        <v>2226.5</v>
      </c>
      <c r="M36" s="58">
        <f t="shared" si="4"/>
        <v>2226.5</v>
      </c>
      <c r="N36" s="58">
        <f t="shared" si="4"/>
        <v>2226.5</v>
      </c>
      <c r="O36" s="54">
        <f t="shared" si="3"/>
        <v>24522</v>
      </c>
    </row>
    <row r="37" spans="1:16" x14ac:dyDescent="0.25">
      <c r="A37" s="40" t="s">
        <v>470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</row>
    <row r="38" spans="1:16" x14ac:dyDescent="0.25">
      <c r="A38" s="8" t="s">
        <v>471</v>
      </c>
      <c r="B38" s="4" t="s">
        <v>326</v>
      </c>
      <c r="C38" s="56">
        <f>Capacity_ExD!C35*Assumptions!$C$50*C7</f>
        <v>20.564990564990609</v>
      </c>
      <c r="D38" s="56">
        <f>Capacity_ExD!D35*Assumptions!$C$50*D7</f>
        <v>76.643171643171712</v>
      </c>
      <c r="E38" s="56">
        <f>Capacity_ExD!E35*Assumptions!$C$50*E7</f>
        <v>0</v>
      </c>
      <c r="F38" s="56">
        <f>Capacity_ExD!F35*Assumptions!$C$50*F7</f>
        <v>0</v>
      </c>
      <c r="G38" s="56">
        <f>Capacity_ExD!G35*Assumptions!$C$50*G7</f>
        <v>15.73581827061806</v>
      </c>
      <c r="H38" s="56">
        <f>Capacity_ExD!H35*Assumptions!$C$50*H7</f>
        <v>87.42251961001962</v>
      </c>
      <c r="I38" s="56">
        <f>Capacity_ExD!I35*Assumptions!$C$50*I7</f>
        <v>103.37990250490257</v>
      </c>
      <c r="J38" s="56">
        <f>Capacity_ExD!J35*Assumptions!$C$50*J7</f>
        <v>64.605990074740021</v>
      </c>
      <c r="K38" s="56">
        <f>Capacity_ExD!K35*Assumptions!$C$50*K7</f>
        <v>156.42672142672146</v>
      </c>
      <c r="L38" s="56">
        <f>Capacity_ExD!L35*Assumptions!$C$50*L7</f>
        <v>70.228220275095211</v>
      </c>
      <c r="M38" s="56">
        <f>Capacity_ExD!M35*Assumptions!$C$50*M7</f>
        <v>126.22480759980779</v>
      </c>
      <c r="N38" s="56">
        <f>Capacity_ExD!N35*Assumptions!$C$50*N7</f>
        <v>0</v>
      </c>
      <c r="O38" s="42">
        <f>SUM(C38:N38)</f>
        <v>721.232141970067</v>
      </c>
    </row>
    <row r="39" spans="1:16" x14ac:dyDescent="0.25">
      <c r="A39" s="8" t="s">
        <v>472</v>
      </c>
      <c r="B39" s="4" t="s">
        <v>326</v>
      </c>
      <c r="C39" s="56">
        <f>Capacity_ExD!C38*C9</f>
        <v>104.53870203870227</v>
      </c>
      <c r="D39" s="56">
        <f>Capacity_ExD!D38*D9</f>
        <v>389.60278918612289</v>
      </c>
      <c r="E39" s="56">
        <f>Capacity_ExD!E38*E9</f>
        <v>0</v>
      </c>
      <c r="F39" s="56">
        <f>Capacity_ExD!F38*F9</f>
        <v>0</v>
      </c>
      <c r="G39" s="56">
        <f>Capacity_ExD!G38*G9</f>
        <v>86.946097328596167</v>
      </c>
      <c r="H39" s="56">
        <f>Capacity_ExD!H38*H9</f>
        <v>483.04109567130411</v>
      </c>
      <c r="I39" s="56">
        <f>Capacity_ExD!I38*I9</f>
        <v>571.21141782600159</v>
      </c>
      <c r="J39" s="56">
        <f>Capacity_ExD!J38*J9</f>
        <v>356.97150313035706</v>
      </c>
      <c r="K39" s="56">
        <f>Capacity_ExD!K38*K9</f>
        <v>864.31431223097911</v>
      </c>
      <c r="L39" s="56">
        <f>Capacity_ExD!L38*L9</f>
        <v>388.03636202724709</v>
      </c>
      <c r="M39" s="56">
        <f>Capacity_ExD!M38*M9</f>
        <v>697.43779561487997</v>
      </c>
      <c r="N39" s="56">
        <f>Capacity_ExD!N38*N9</f>
        <v>0</v>
      </c>
      <c r="O39" s="42">
        <f>SUM(C39:N39)</f>
        <v>3942.1000750541903</v>
      </c>
      <c r="P39" s="45" t="s">
        <v>473</v>
      </c>
    </row>
    <row r="40" spans="1:16" x14ac:dyDescent="0.25">
      <c r="A40" s="57" t="s">
        <v>474</v>
      </c>
      <c r="B40" s="52" t="s">
        <v>326</v>
      </c>
      <c r="C40" s="58">
        <f t="shared" ref="C40:N40" si="5">C38+C39</f>
        <v>125.10369260369288</v>
      </c>
      <c r="D40" s="58">
        <f t="shared" si="5"/>
        <v>466.24596082929463</v>
      </c>
      <c r="E40" s="58">
        <f t="shared" si="5"/>
        <v>0</v>
      </c>
      <c r="F40" s="58">
        <f t="shared" si="5"/>
        <v>0</v>
      </c>
      <c r="G40" s="58">
        <f t="shared" si="5"/>
        <v>102.68191559921422</v>
      </c>
      <c r="H40" s="58">
        <f t="shared" si="5"/>
        <v>570.46361528132377</v>
      </c>
      <c r="I40" s="58">
        <f t="shared" si="5"/>
        <v>674.59132033090418</v>
      </c>
      <c r="J40" s="58">
        <f t="shared" si="5"/>
        <v>421.57749320509708</v>
      </c>
      <c r="K40" s="58">
        <f t="shared" si="5"/>
        <v>1020.7410336577005</v>
      </c>
      <c r="L40" s="58">
        <f t="shared" si="5"/>
        <v>458.26458230234232</v>
      </c>
      <c r="M40" s="58">
        <f t="shared" si="5"/>
        <v>823.66260321468781</v>
      </c>
      <c r="N40" s="58">
        <f t="shared" si="5"/>
        <v>0</v>
      </c>
      <c r="O40" s="54">
        <f>SUM(C40:N40)</f>
        <v>4663.3322170242573</v>
      </c>
    </row>
    <row r="41" spans="1:16" x14ac:dyDescent="0.25">
      <c r="A41" s="40" t="s">
        <v>475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spans="1:16" x14ac:dyDescent="0.25">
      <c r="A42" s="8" t="s">
        <v>476</v>
      </c>
      <c r="B42" s="4" t="s">
        <v>326</v>
      </c>
      <c r="C42" s="56">
        <f>Topline_ExC!C16*Assumptions!$C$53*C7/1000000</f>
        <v>124.16</v>
      </c>
      <c r="D42" s="56">
        <f>Topline_ExC!D16*Assumptions!$C$53*D7/1000000</f>
        <v>138.24</v>
      </c>
      <c r="E42" s="56">
        <f>Topline_ExC!E16*Assumptions!$C$53*E7/1000000</f>
        <v>109.76</v>
      </c>
      <c r="F42" s="56">
        <f>Topline_ExC!F16*Assumptions!$C$53*F7/1000000</f>
        <v>135.24</v>
      </c>
      <c r="G42" s="56">
        <f>Topline_ExC!G16*Assumptions!$C$53*G7/1000000</f>
        <v>144.256</v>
      </c>
      <c r="H42" s="56">
        <f>Topline_ExC!H16*Assumptions!$C$53*H7/1000000</f>
        <v>162.28800000000001</v>
      </c>
      <c r="I42" s="56">
        <f>Topline_ExC!I16*Assumptions!$C$53*I7/1000000</f>
        <v>180.32</v>
      </c>
      <c r="J42" s="56">
        <f>Topline_ExC!J16*Assumptions!$C$53*J7/1000000</f>
        <v>189.33600000000001</v>
      </c>
      <c r="K42" s="56">
        <f>Topline_ExC!K16*Assumptions!$C$53*K7/1000000</f>
        <v>216.38399999999996</v>
      </c>
      <c r="L42" s="56">
        <f>Topline_ExC!L16*Assumptions!$C$53*L7/1000000</f>
        <v>220.89199999999997</v>
      </c>
      <c r="M42" s="56">
        <f>Topline_ExC!M16*Assumptions!$C$53*M7/1000000</f>
        <v>238.46399999999997</v>
      </c>
      <c r="N42" s="56">
        <f>Topline_ExC!N16*Assumptions!$C$53*N7/1000000</f>
        <v>225.39999999999998</v>
      </c>
      <c r="O42" s="42">
        <f t="shared" ref="O42:O47" si="6">SUM(C42:N42)</f>
        <v>2084.7399999999998</v>
      </c>
    </row>
    <row r="43" spans="1:16" x14ac:dyDescent="0.25">
      <c r="A43" s="8" t="s">
        <v>477</v>
      </c>
      <c r="B43" s="4" t="s">
        <v>326</v>
      </c>
      <c r="C43" s="56">
        <f>Assumptions!$C$54*C7</f>
        <v>50</v>
      </c>
      <c r="D43" s="56">
        <f>Assumptions!$C$54*D7</f>
        <v>50</v>
      </c>
      <c r="E43" s="56">
        <f>Assumptions!$C$54*E7</f>
        <v>50</v>
      </c>
      <c r="F43" s="56">
        <f>Assumptions!$C$54*F7</f>
        <v>57.499999999999993</v>
      </c>
      <c r="G43" s="56">
        <f>Assumptions!$C$54*G7</f>
        <v>57.499999999999993</v>
      </c>
      <c r="H43" s="56">
        <f>Assumptions!$C$54*H7</f>
        <v>57.499999999999993</v>
      </c>
      <c r="I43" s="56">
        <f>Assumptions!$C$54*I7</f>
        <v>57.499999999999993</v>
      </c>
      <c r="J43" s="56">
        <f>Assumptions!$C$54*J7</f>
        <v>57.499999999999993</v>
      </c>
      <c r="K43" s="56">
        <f>Assumptions!$C$54*K7</f>
        <v>57.499999999999993</v>
      </c>
      <c r="L43" s="56">
        <f>Assumptions!$C$54*L7</f>
        <v>57.499999999999993</v>
      </c>
      <c r="M43" s="56">
        <f>Assumptions!$C$54*M7</f>
        <v>57.499999999999993</v>
      </c>
      <c r="N43" s="56">
        <f>Assumptions!$C$54*N7</f>
        <v>57.499999999999993</v>
      </c>
      <c r="O43" s="42">
        <f t="shared" si="6"/>
        <v>667.5</v>
      </c>
    </row>
    <row r="44" spans="1:16" x14ac:dyDescent="0.25">
      <c r="A44" s="8" t="s">
        <v>478</v>
      </c>
      <c r="B44" s="4" t="s">
        <v>326</v>
      </c>
      <c r="C44" s="56">
        <f>Topline_ExC!C17*Assumptions!$C$55*C7/1000000</f>
        <v>21</v>
      </c>
      <c r="D44" s="56">
        <f>Topline_ExC!D17*Assumptions!$C$55*D7/1000000</f>
        <v>23</v>
      </c>
      <c r="E44" s="56">
        <f>Topline_ExC!E17*Assumptions!$C$55*E7/1000000</f>
        <v>18</v>
      </c>
      <c r="F44" s="56">
        <f>Topline_ExC!F17*Assumptions!$C$55*F7/1000000</f>
        <v>23</v>
      </c>
      <c r="G44" s="56">
        <f>Topline_ExC!G17*Assumptions!$C$55*G7/1000000</f>
        <v>24.149999999999995</v>
      </c>
      <c r="H44" s="56">
        <f>Topline_ExC!H17*Assumptions!$C$55*H7/1000000</f>
        <v>25.299999999999997</v>
      </c>
      <c r="I44" s="56">
        <f>Topline_ExC!I17*Assumptions!$C$55*I7/1000000</f>
        <v>28.749999999999996</v>
      </c>
      <c r="J44" s="56">
        <f>Topline_ExC!J17*Assumptions!$C$55*J7/1000000</f>
        <v>29.899999999999995</v>
      </c>
      <c r="K44" s="56">
        <f>Topline_ExC!K17*Assumptions!$C$55*K7/1000000</f>
        <v>36.799999999999997</v>
      </c>
      <c r="L44" s="56">
        <f>Topline_ExC!L17*Assumptions!$C$55*L7/1000000</f>
        <v>40.25</v>
      </c>
      <c r="M44" s="56">
        <f>Topline_ExC!M17*Assumptions!$C$55*M7/1000000</f>
        <v>46</v>
      </c>
      <c r="N44" s="56">
        <f>Topline_ExC!N17*Assumptions!$C$55*N7/1000000</f>
        <v>43.7</v>
      </c>
      <c r="O44" s="42">
        <f t="shared" si="6"/>
        <v>359.84999999999997</v>
      </c>
    </row>
    <row r="45" spans="1:16" x14ac:dyDescent="0.25">
      <c r="A45" s="8" t="s">
        <v>479</v>
      </c>
      <c r="B45" s="4" t="s">
        <v>326</v>
      </c>
      <c r="C45" s="56">
        <f>Capacity_ExD!C36*Assumptions!$C$51*C7</f>
        <v>214.21865171865176</v>
      </c>
      <c r="D45" s="56">
        <f>Capacity_ExD!D36*Assumptions!$C$51*D7</f>
        <v>237.5845605012272</v>
      </c>
      <c r="E45" s="56">
        <f>Capacity_ExD!E36*Assumptions!$C$51*E7</f>
        <v>228.08117808117814</v>
      </c>
      <c r="F45" s="56">
        <f>Capacity_ExD!F36*Assumptions!$C$51*F7</f>
        <v>251.80162060162064</v>
      </c>
      <c r="G45" s="56">
        <f>Capacity_ExD!G36*Assumptions!$C$51*G7</f>
        <v>248.28614672364668</v>
      </c>
      <c r="H45" s="56">
        <f>Capacity_ExD!H36*Assumptions!$C$51*H7</f>
        <v>274.78075069220904</v>
      </c>
      <c r="I45" s="56">
        <f>Capacity_ExD!I36*Assumptions!$C$51*I7</f>
        <v>306.86448004156335</v>
      </c>
      <c r="J45" s="56">
        <f>Capacity_ExD!J36*Assumptions!$C$51*J7</f>
        <v>321.50906337104254</v>
      </c>
      <c r="K45" s="56">
        <f>Capacity_ExD!K36*Assumptions!$C$51*K7</f>
        <v>373.82650143066809</v>
      </c>
      <c r="L45" s="56">
        <f>Capacity_ExD!L36*Assumptions!$C$51*L7</f>
        <v>388.13519982139769</v>
      </c>
      <c r="M45" s="56">
        <f>Capacity_ExD!M36*Assumptions!$C$51*M7</f>
        <v>425.20346166179502</v>
      </c>
      <c r="N45" s="56">
        <f>Capacity_ExD!N36*Assumptions!$C$51*N7</f>
        <v>408.19532319532328</v>
      </c>
      <c r="O45" s="42">
        <f t="shared" si="6"/>
        <v>3678.4869378403232</v>
      </c>
    </row>
    <row r="46" spans="1:16" x14ac:dyDescent="0.25">
      <c r="A46" s="8" t="s">
        <v>234</v>
      </c>
      <c r="B46" s="4" t="s">
        <v>326</v>
      </c>
      <c r="C46" s="56">
        <f>Assumptions!$C$52*C7</f>
        <v>150</v>
      </c>
      <c r="D46" s="56">
        <f>Assumptions!$C$52*D7</f>
        <v>150</v>
      </c>
      <c r="E46" s="56">
        <f>Assumptions!$C$52*E7</f>
        <v>150</v>
      </c>
      <c r="F46" s="56">
        <f>Assumptions!$C$52*F7</f>
        <v>172.5</v>
      </c>
      <c r="G46" s="56">
        <f>Assumptions!$C$52*G7</f>
        <v>172.5</v>
      </c>
      <c r="H46" s="56">
        <f>Assumptions!$C$52*H7</f>
        <v>172.5</v>
      </c>
      <c r="I46" s="56">
        <f>Assumptions!$C$52*I7</f>
        <v>172.5</v>
      </c>
      <c r="J46" s="56">
        <f>Assumptions!$C$52*J7</f>
        <v>172.5</v>
      </c>
      <c r="K46" s="56">
        <f>Assumptions!$C$52*K7</f>
        <v>172.5</v>
      </c>
      <c r="L46" s="56">
        <f>Assumptions!$C$52*L7</f>
        <v>172.5</v>
      </c>
      <c r="M46" s="56">
        <f>Assumptions!$C$52*M7</f>
        <v>172.5</v>
      </c>
      <c r="N46" s="56">
        <f>Assumptions!$C$52*N7</f>
        <v>172.5</v>
      </c>
      <c r="O46" s="42">
        <f t="shared" si="6"/>
        <v>2002.5</v>
      </c>
    </row>
    <row r="47" spans="1:16" x14ac:dyDescent="0.25">
      <c r="A47" s="57" t="s">
        <v>480</v>
      </c>
      <c r="B47" s="52" t="s">
        <v>326</v>
      </c>
      <c r="C47" s="58">
        <f t="shared" ref="C47:N47" si="7">SUM(C42:C46)</f>
        <v>559.37865171865178</v>
      </c>
      <c r="D47" s="58">
        <f t="shared" si="7"/>
        <v>598.82456050122721</v>
      </c>
      <c r="E47" s="58">
        <f t="shared" si="7"/>
        <v>555.8411780811781</v>
      </c>
      <c r="F47" s="58">
        <f t="shared" si="7"/>
        <v>640.04162060162071</v>
      </c>
      <c r="G47" s="58">
        <f t="shared" si="7"/>
        <v>646.69214672364672</v>
      </c>
      <c r="H47" s="58">
        <f t="shared" si="7"/>
        <v>692.36875069220901</v>
      </c>
      <c r="I47" s="58">
        <f t="shared" si="7"/>
        <v>745.93448004156335</v>
      </c>
      <c r="J47" s="58">
        <f t="shared" si="7"/>
        <v>770.74506337104253</v>
      </c>
      <c r="K47" s="58">
        <f t="shared" si="7"/>
        <v>857.010501430668</v>
      </c>
      <c r="L47" s="58">
        <f t="shared" si="7"/>
        <v>879.27719982139763</v>
      </c>
      <c r="M47" s="58">
        <f t="shared" si="7"/>
        <v>939.66746166179496</v>
      </c>
      <c r="N47" s="58">
        <f t="shared" si="7"/>
        <v>907.29532319532325</v>
      </c>
      <c r="O47" s="54">
        <f t="shared" si="6"/>
        <v>8793.076937840322</v>
      </c>
    </row>
    <row r="48" spans="1:16" x14ac:dyDescent="0.25">
      <c r="A48" s="40" t="s">
        <v>481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16" x14ac:dyDescent="0.25">
      <c r="A49" s="8" t="s">
        <v>482</v>
      </c>
      <c r="B49" s="4" t="s">
        <v>326</v>
      </c>
      <c r="C49" s="56">
        <f>Capacity_ExD!C58*Assumptions!$C$56</f>
        <v>1128</v>
      </c>
      <c r="D49" s="56">
        <f>Capacity_ExD!D58*Assumptions!$C$56</f>
        <v>1128</v>
      </c>
      <c r="E49" s="56">
        <f>Capacity_ExD!E58*Assumptions!$C$56</f>
        <v>1128</v>
      </c>
      <c r="F49" s="56">
        <f>Capacity_ExD!F58*Assumptions!$C$56</f>
        <v>1128</v>
      </c>
      <c r="G49" s="56">
        <f>Capacity_ExD!G58*Assumptions!$C$56</f>
        <v>1128</v>
      </c>
      <c r="H49" s="56">
        <f>Capacity_ExD!H58*Assumptions!$C$56</f>
        <v>1128</v>
      </c>
      <c r="I49" s="56">
        <f>Capacity_ExD!I58*Assumptions!$C$56</f>
        <v>1128</v>
      </c>
      <c r="J49" s="56">
        <f>Capacity_ExD!J58*Assumptions!$C$56</f>
        <v>1128</v>
      </c>
      <c r="K49" s="56">
        <f>Capacity_ExD!K58*Assumptions!$C$56</f>
        <v>1128</v>
      </c>
      <c r="L49" s="56">
        <f>Capacity_ExD!L58*Assumptions!$C$56</f>
        <v>1128</v>
      </c>
      <c r="M49" s="56">
        <f>Capacity_ExD!M58*Assumptions!$C$56</f>
        <v>1128</v>
      </c>
      <c r="N49" s="56">
        <f>Capacity_ExD!N58*Assumptions!$C$56</f>
        <v>1128</v>
      </c>
      <c r="O49" s="42">
        <f>SUM(C49:N49)</f>
        <v>13536</v>
      </c>
    </row>
    <row r="50" spans="1:16" x14ac:dyDescent="0.25">
      <c r="A50" s="8" t="s">
        <v>483</v>
      </c>
      <c r="B50" s="4" t="s">
        <v>326</v>
      </c>
      <c r="C50" s="56">
        <f>Capacity_ExD!C57*Assumptions!$C$57*C7</f>
        <v>160</v>
      </c>
      <c r="D50" s="56">
        <f>Capacity_ExD!D57*Assumptions!$C$57*D7</f>
        <v>176</v>
      </c>
      <c r="E50" s="56">
        <f>Capacity_ExD!E57*Assumptions!$C$57*E7</f>
        <v>170</v>
      </c>
      <c r="F50" s="56">
        <f>Capacity_ExD!F57*Assumptions!$C$57*F7</f>
        <v>190.89999999999998</v>
      </c>
      <c r="G50" s="56">
        <f>Capacity_ExD!G57*Assumptions!$C$57*G7</f>
        <v>188.6</v>
      </c>
      <c r="H50" s="56">
        <f>Capacity_ExD!H57*Assumptions!$C$57*H7</f>
        <v>202.39999999999998</v>
      </c>
      <c r="I50" s="56">
        <f>Capacity_ExD!I57*Assumptions!$C$57*I7</f>
        <v>223.1</v>
      </c>
      <c r="J50" s="56">
        <f>Capacity_ExD!J57*Assumptions!$C$57*J7</f>
        <v>229.99999999999997</v>
      </c>
      <c r="K50" s="56">
        <f>Capacity_ExD!K57*Assumptions!$C$57*K7</f>
        <v>264.5</v>
      </c>
      <c r="L50" s="56">
        <f>Capacity_ExD!L57*Assumptions!$C$57*L7</f>
        <v>276</v>
      </c>
      <c r="M50" s="56">
        <f>Capacity_ExD!M57*Assumptions!$C$57*M7</f>
        <v>294.39999999999998</v>
      </c>
      <c r="N50" s="56">
        <f>Capacity_ExD!N57*Assumptions!$C$57*N7</f>
        <v>285.2</v>
      </c>
      <c r="O50" s="42">
        <f>SUM(C50:N50)</f>
        <v>2661.1</v>
      </c>
    </row>
    <row r="51" spans="1:16" x14ac:dyDescent="0.25">
      <c r="A51" s="57" t="s">
        <v>484</v>
      </c>
      <c r="B51" s="52" t="s">
        <v>326</v>
      </c>
      <c r="C51" s="58">
        <f t="shared" ref="C51:N51" si="8">C49+C50</f>
        <v>1288</v>
      </c>
      <c r="D51" s="58">
        <f t="shared" si="8"/>
        <v>1304</v>
      </c>
      <c r="E51" s="58">
        <f t="shared" si="8"/>
        <v>1298</v>
      </c>
      <c r="F51" s="58">
        <f t="shared" si="8"/>
        <v>1318.9</v>
      </c>
      <c r="G51" s="58">
        <f t="shared" si="8"/>
        <v>1316.6</v>
      </c>
      <c r="H51" s="58">
        <f t="shared" si="8"/>
        <v>1330.4</v>
      </c>
      <c r="I51" s="58">
        <f t="shared" si="8"/>
        <v>1351.1</v>
      </c>
      <c r="J51" s="58">
        <f t="shared" si="8"/>
        <v>1358</v>
      </c>
      <c r="K51" s="58">
        <f t="shared" si="8"/>
        <v>1392.5</v>
      </c>
      <c r="L51" s="58">
        <f t="shared" si="8"/>
        <v>1404</v>
      </c>
      <c r="M51" s="58">
        <f t="shared" si="8"/>
        <v>1422.4</v>
      </c>
      <c r="N51" s="58">
        <f t="shared" si="8"/>
        <v>1413.2</v>
      </c>
      <c r="O51" s="54">
        <f>SUM(C51:N51)</f>
        <v>16197.1</v>
      </c>
    </row>
    <row r="52" spans="1:16" x14ac:dyDescent="0.25">
      <c r="A52" s="40" t="s">
        <v>485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spans="1:16" x14ac:dyDescent="0.25">
      <c r="A53" s="8" t="s">
        <v>486</v>
      </c>
      <c r="B53" s="4" t="s">
        <v>326</v>
      </c>
      <c r="C53" s="56">
        <f>Topline_ExC!C30*Assumptions!$C$61</f>
        <v>405.08399999999995</v>
      </c>
      <c r="D53" s="56">
        <f>Topline_ExC!D30*Assumptions!$C$61</f>
        <v>444.09935999999999</v>
      </c>
      <c r="E53" s="56">
        <f>Topline_ExC!E30*Assumptions!$C$61</f>
        <v>355.22399999999999</v>
      </c>
      <c r="F53" s="56">
        <f>Topline_ExC!F30*Assumptions!$C$61</f>
        <v>384.24</v>
      </c>
      <c r="G53" s="56">
        <f>Topline_ExC!G30*Assumptions!$C$61</f>
        <v>408.15600000000001</v>
      </c>
      <c r="H53" s="56">
        <f>Topline_ExC!H30*Assumptions!$C$61</f>
        <v>450.88799999999998</v>
      </c>
      <c r="I53" s="56">
        <f>Topline_ExC!I30*Assumptions!$C$61</f>
        <v>503.82</v>
      </c>
      <c r="J53" s="56">
        <f>Topline_ExC!J30*Assumptions!$C$61</f>
        <v>527.73599999999999</v>
      </c>
      <c r="K53" s="56">
        <f>Topline_ExC!K30*Assumptions!$C$61</f>
        <v>644.78399999999999</v>
      </c>
      <c r="L53" s="56">
        <f>Topline_ExC!L30*Assumptions!$C$61</f>
        <v>639.49200000000008</v>
      </c>
      <c r="M53" s="56">
        <f>Topline_ExC!M30*Assumptions!$C$61</f>
        <v>694.19903999999997</v>
      </c>
      <c r="N53" s="56">
        <f>Topline_ExC!N30*Assumptions!$C$61</f>
        <v>664.19999999999993</v>
      </c>
      <c r="O53" s="42">
        <f>SUM(C53:N53)</f>
        <v>6121.9224000000004</v>
      </c>
    </row>
    <row r="54" spans="1:16" x14ac:dyDescent="0.25">
      <c r="A54" s="8" t="s">
        <v>487</v>
      </c>
      <c r="B54" s="4" t="s">
        <v>326</v>
      </c>
      <c r="C54" s="56">
        <f>Capacity_ExD!C52*Assumptions!$C$62*C7</f>
        <v>107.6874606874607</v>
      </c>
      <c r="D54" s="56">
        <f>Capacity_ExD!D52*Assumptions!$C$62*D7</f>
        <v>119.03382420049088</v>
      </c>
      <c r="E54" s="56">
        <f>Capacity_ExD!E52*Assumptions!$C$62*E7</f>
        <v>115.23247123247126</v>
      </c>
      <c r="F54" s="56">
        <f>Capacity_ExD!F52*Assumptions!$C$62*F7</f>
        <v>128.32064824064827</v>
      </c>
      <c r="G54" s="56">
        <f>Capacity_ExD!G52*Assumptions!$C$62*G7</f>
        <v>126.91445868945868</v>
      </c>
      <c r="H54" s="56">
        <f>Capacity_ExD!H52*Assumptions!$C$62*H7</f>
        <v>137.51230027688362</v>
      </c>
      <c r="I54" s="56">
        <f>Capacity_ExD!I52*Assumptions!$C$62*I7</f>
        <v>151.49579201662539</v>
      </c>
      <c r="J54" s="56">
        <f>Capacity_ExD!J52*Assumptions!$C$62*J7</f>
        <v>157.35362534841701</v>
      </c>
      <c r="K54" s="56">
        <f>Capacity_ExD!K52*Assumptions!$C$62*K7</f>
        <v>181.73060057226724</v>
      </c>
      <c r="L54" s="56">
        <f>Capacity_ExD!L52*Assumptions!$C$62*L7</f>
        <v>188.60407992855909</v>
      </c>
      <c r="M54" s="56">
        <f>Capacity_ExD!M52*Assumptions!$C$62*M7</f>
        <v>203.43138466471802</v>
      </c>
      <c r="N54" s="56">
        <f>Capacity_ExD!N52*Assumptions!$C$62*N7</f>
        <v>196.62812927812931</v>
      </c>
      <c r="O54" s="42">
        <f>SUM(C54:N54)</f>
        <v>1813.9447751361292</v>
      </c>
    </row>
    <row r="55" spans="1:16" x14ac:dyDescent="0.25">
      <c r="A55" s="57" t="s">
        <v>488</v>
      </c>
      <c r="B55" s="52" t="s">
        <v>326</v>
      </c>
      <c r="C55" s="58">
        <f t="shared" ref="C55:N55" si="9">C53+C54</f>
        <v>512.7714606874606</v>
      </c>
      <c r="D55" s="58">
        <f t="shared" si="9"/>
        <v>563.13318420049086</v>
      </c>
      <c r="E55" s="58">
        <f t="shared" si="9"/>
        <v>470.45647123247124</v>
      </c>
      <c r="F55" s="58">
        <f t="shared" si="9"/>
        <v>512.56064824064833</v>
      </c>
      <c r="G55" s="58">
        <f t="shared" si="9"/>
        <v>535.07045868945875</v>
      </c>
      <c r="H55" s="58">
        <f t="shared" si="9"/>
        <v>588.40030027688363</v>
      </c>
      <c r="I55" s="58">
        <f t="shared" si="9"/>
        <v>655.31579201662544</v>
      </c>
      <c r="J55" s="58">
        <f t="shared" si="9"/>
        <v>685.08962534841703</v>
      </c>
      <c r="K55" s="58">
        <f t="shared" si="9"/>
        <v>826.51460057226723</v>
      </c>
      <c r="L55" s="58">
        <f t="shared" si="9"/>
        <v>828.09607992855922</v>
      </c>
      <c r="M55" s="58">
        <f t="shared" si="9"/>
        <v>897.63042466471802</v>
      </c>
      <c r="N55" s="58">
        <f t="shared" si="9"/>
        <v>860.82812927812927</v>
      </c>
      <c r="O55" s="54">
        <f>SUM(C55:N55)</f>
        <v>7935.8671751361298</v>
      </c>
    </row>
    <row r="56" spans="1:16" x14ac:dyDescent="0.25">
      <c r="A56" s="59" t="s">
        <v>489</v>
      </c>
      <c r="B56" s="60" t="s">
        <v>326</v>
      </c>
      <c r="C56" s="61">
        <f t="shared" ref="C56:N56" si="10">C27+C36+C40+C47+C51+C55</f>
        <v>10276.628906944909</v>
      </c>
      <c r="D56" s="61">
        <f t="shared" si="10"/>
        <v>11616.193648427621</v>
      </c>
      <c r="E56" s="61">
        <f t="shared" si="10"/>
        <v>10739.093394494397</v>
      </c>
      <c r="F56" s="61">
        <f t="shared" si="10"/>
        <v>12726.161871392498</v>
      </c>
      <c r="G56" s="61">
        <f t="shared" si="10"/>
        <v>12774.349934117732</v>
      </c>
      <c r="H56" s="61">
        <f t="shared" si="10"/>
        <v>14078.843970840888</v>
      </c>
      <c r="I56" s="61">
        <f t="shared" si="10"/>
        <v>15353.875447114617</v>
      </c>
      <c r="J56" s="61">
        <f t="shared" si="10"/>
        <v>15562.628147055106</v>
      </c>
      <c r="K56" s="61">
        <f t="shared" si="10"/>
        <v>18159.803419981257</v>
      </c>
      <c r="L56" s="61">
        <f t="shared" si="10"/>
        <v>18176.962024887922</v>
      </c>
      <c r="M56" s="61">
        <f t="shared" si="10"/>
        <v>19704.712443759829</v>
      </c>
      <c r="N56" s="61">
        <f t="shared" si="10"/>
        <v>18332.972286856664</v>
      </c>
      <c r="O56" s="62">
        <f>SUM(C56:N56)</f>
        <v>177502.22549587346</v>
      </c>
    </row>
    <row r="57" spans="1:16" x14ac:dyDescent="0.25">
      <c r="A57" s="40" t="s">
        <v>490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6" x14ac:dyDescent="0.25">
      <c r="A58" s="8" t="s">
        <v>491</v>
      </c>
      <c r="B58" s="4" t="s">
        <v>326</v>
      </c>
      <c r="C58" s="56">
        <f>Capacity_ExD!C58*Assumptions!$C$59/Assumptions!$C$60</f>
        <v>313.33333333333331</v>
      </c>
      <c r="D58" s="56">
        <f>Capacity_ExD!D58*Assumptions!$C$59/Assumptions!$C$60</f>
        <v>313.33333333333331</v>
      </c>
      <c r="E58" s="56">
        <f>Capacity_ExD!E58*Assumptions!$C$59/Assumptions!$C$60</f>
        <v>313.33333333333331</v>
      </c>
      <c r="F58" s="56">
        <f>Capacity_ExD!F58*Assumptions!$C$59/Assumptions!$C$60</f>
        <v>313.33333333333331</v>
      </c>
      <c r="G58" s="56">
        <f>Capacity_ExD!G58*Assumptions!$C$59/Assumptions!$C$60</f>
        <v>313.33333333333331</v>
      </c>
      <c r="H58" s="56">
        <f>Capacity_ExD!H58*Assumptions!$C$59/Assumptions!$C$60</f>
        <v>313.33333333333331</v>
      </c>
      <c r="I58" s="56">
        <f>Capacity_ExD!I58*Assumptions!$C$59/Assumptions!$C$60</f>
        <v>313.33333333333331</v>
      </c>
      <c r="J58" s="56">
        <f>Capacity_ExD!J58*Assumptions!$C$59/Assumptions!$C$60</f>
        <v>313.33333333333331</v>
      </c>
      <c r="K58" s="56">
        <f>Capacity_ExD!K58*Assumptions!$C$59/Assumptions!$C$60</f>
        <v>313.33333333333331</v>
      </c>
      <c r="L58" s="56">
        <f>Capacity_ExD!L58*Assumptions!$C$59/Assumptions!$C$60</f>
        <v>313.33333333333331</v>
      </c>
      <c r="M58" s="56">
        <f>Capacity_ExD!M58*Assumptions!$C$59/Assumptions!$C$60</f>
        <v>313.33333333333331</v>
      </c>
      <c r="N58" s="56">
        <f>Capacity_ExD!N58*Assumptions!$C$59/Assumptions!$C$60</f>
        <v>313.33333333333331</v>
      </c>
      <c r="O58" s="42">
        <f>SUM(C58:N58)</f>
        <v>3760.0000000000005</v>
      </c>
      <c r="P58" s="45" t="s">
        <v>492</v>
      </c>
    </row>
    <row r="59" spans="1:16" x14ac:dyDescent="0.25">
      <c r="A59" s="40" t="s">
        <v>493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6" x14ac:dyDescent="0.25">
      <c r="A60" s="8" t="s">
        <v>494</v>
      </c>
      <c r="B60" s="4" t="s">
        <v>326</v>
      </c>
      <c r="C60" s="56">
        <f>C27+C36+C39</f>
        <v>7895.9138039738045</v>
      </c>
      <c r="D60" s="56">
        <f t="shared" ref="C60:N60" si="11">D27+D36+D39</f>
        <v>9073.5927320827323</v>
      </c>
      <c r="E60" s="56">
        <f t="shared" si="11"/>
        <v>8414.795745180747</v>
      </c>
      <c r="F60" s="56">
        <f t="shared" si="11"/>
        <v>10254.659602550229</v>
      </c>
      <c r="G60" s="56">
        <f t="shared" si="11"/>
        <v>10260.251510434009</v>
      </c>
      <c r="H60" s="56">
        <f t="shared" si="11"/>
        <v>11380.252400261776</v>
      </c>
      <c r="I60" s="56">
        <f t="shared" si="11"/>
        <v>12498.145272551525</v>
      </c>
      <c r="J60" s="56">
        <f t="shared" si="11"/>
        <v>12684.187468260905</v>
      </c>
      <c r="K60" s="56">
        <f t="shared" si="11"/>
        <v>14927.351596551598</v>
      </c>
      <c r="L60" s="56">
        <f t="shared" si="11"/>
        <v>14995.360524862868</v>
      </c>
      <c r="M60" s="56">
        <f t="shared" si="11"/>
        <v>16318.789749833504</v>
      </c>
      <c r="N60" s="56">
        <f t="shared" si="11"/>
        <v>15151.648834383213</v>
      </c>
      <c r="O60" s="42">
        <f>SUM(C60:N60)</f>
        <v>143854.94924092692</v>
      </c>
    </row>
    <row r="61" spans="1:16" x14ac:dyDescent="0.25">
      <c r="A61" s="8" t="s">
        <v>495</v>
      </c>
      <c r="B61" s="4" t="s">
        <v>100</v>
      </c>
      <c r="C61" s="55">
        <f>C60/C56</f>
        <v>0.76833695908176414</v>
      </c>
      <c r="D61" s="55">
        <f t="shared" ref="C61:O61" si="12">D60/D56</f>
        <v>0.78111582904878163</v>
      </c>
      <c r="E61" s="55">
        <f t="shared" si="12"/>
        <v>0.78356667886832554</v>
      </c>
      <c r="F61" s="55">
        <f t="shared" si="12"/>
        <v>0.80579358538586332</v>
      </c>
      <c r="G61" s="55">
        <f t="shared" si="12"/>
        <v>0.80319167420260895</v>
      </c>
      <c r="H61" s="55">
        <f t="shared" si="12"/>
        <v>0.80832292934219274</v>
      </c>
      <c r="I61" s="55">
        <f t="shared" si="12"/>
        <v>0.81400590460698596</v>
      </c>
      <c r="J61" s="55">
        <f t="shared" si="12"/>
        <v>0.81504147939569682</v>
      </c>
      <c r="K61" s="55">
        <f t="shared" si="12"/>
        <v>0.82199962473861432</v>
      </c>
      <c r="L61" s="55">
        <f t="shared" si="12"/>
        <v>0.82496516768485295</v>
      </c>
      <c r="M61" s="55">
        <f t="shared" si="12"/>
        <v>0.82816685584272032</v>
      </c>
      <c r="N61" s="55">
        <f t="shared" si="12"/>
        <v>0.82646984882237473</v>
      </c>
      <c r="O61" s="46">
        <f t="shared" si="12"/>
        <v>0.81044025695481337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P55"/>
  <sheetViews>
    <sheetView showGridLines="0" zoomScaleNormal="100" workbookViewId="0">
      <pane xSplit="2" ySplit="4" topLeftCell="C38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52" customWidth="1"/>
    <col min="2" max="2" width="14" customWidth="1"/>
    <col min="3" max="14" width="11" customWidth="1"/>
    <col min="15" max="15" width="13" customWidth="1"/>
    <col min="16" max="16" width="60" customWidth="1"/>
  </cols>
  <sheetData>
    <row r="1" spans="1:16" ht="18" x14ac:dyDescent="0.25">
      <c r="A1" s="13" t="s">
        <v>496</v>
      </c>
    </row>
    <row r="2" spans="1:16" x14ac:dyDescent="0.25">
      <c r="A2" s="4" t="s">
        <v>497</v>
      </c>
    </row>
    <row r="4" spans="1:16" x14ac:dyDescent="0.25">
      <c r="A4" s="38" t="s">
        <v>296</v>
      </c>
      <c r="B4" s="38" t="s">
        <v>498</v>
      </c>
      <c r="C4" s="39" t="s">
        <v>68</v>
      </c>
      <c r="D4" s="39" t="s">
        <v>69</v>
      </c>
      <c r="E4" s="39" t="s">
        <v>70</v>
      </c>
      <c r="F4" s="39" t="s">
        <v>71</v>
      </c>
      <c r="G4" s="39" t="s">
        <v>72</v>
      </c>
      <c r="H4" s="39" t="s">
        <v>73</v>
      </c>
      <c r="I4" s="39" t="s">
        <v>74</v>
      </c>
      <c r="J4" s="39" t="s">
        <v>75</v>
      </c>
      <c r="K4" s="39" t="s">
        <v>76</v>
      </c>
      <c r="L4" s="39" t="s">
        <v>77</v>
      </c>
      <c r="M4" s="39" t="s">
        <v>78</v>
      </c>
      <c r="N4" s="39" t="s">
        <v>79</v>
      </c>
      <c r="O4" s="39" t="s">
        <v>297</v>
      </c>
      <c r="P4" s="39" t="s">
        <v>298</v>
      </c>
    </row>
    <row r="5" spans="1:16" x14ac:dyDescent="0.25">
      <c r="A5" s="40" t="s">
        <v>499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x14ac:dyDescent="0.25">
      <c r="A6" s="8" t="s">
        <v>332</v>
      </c>
      <c r="B6" s="4" t="s">
        <v>500</v>
      </c>
      <c r="C6" s="20">
        <f>Topline_ExC!C27</f>
        <v>9932.7999999999993</v>
      </c>
      <c r="D6" s="20">
        <f>Topline_ExC!D27</f>
        <v>11059.2</v>
      </c>
      <c r="E6" s="20">
        <f>Topline_ExC!E27</f>
        <v>8780.7999999999993</v>
      </c>
      <c r="F6" s="20">
        <f>Topline_ExC!F27</f>
        <v>9408</v>
      </c>
      <c r="G6" s="20">
        <f>Topline_ExC!G27</f>
        <v>10035.200000000001</v>
      </c>
      <c r="H6" s="20">
        <f>Topline_ExC!H27</f>
        <v>11289.6</v>
      </c>
      <c r="I6" s="20">
        <f>Topline_ExC!I27</f>
        <v>12544</v>
      </c>
      <c r="J6" s="20">
        <f>Topline_ExC!J27</f>
        <v>13171.2</v>
      </c>
      <c r="K6" s="20">
        <f>Topline_ExC!K27</f>
        <v>15052.8</v>
      </c>
      <c r="L6" s="20">
        <f>Topline_ExC!L27</f>
        <v>15366.4</v>
      </c>
      <c r="M6" s="20">
        <f>Topline_ExC!M27</f>
        <v>16588.8</v>
      </c>
      <c r="N6" s="20">
        <f>Topline_ExC!N27</f>
        <v>15680</v>
      </c>
      <c r="O6" s="42">
        <f>SUM(C6:N6)</f>
        <v>148908.79999999999</v>
      </c>
    </row>
    <row r="7" spans="1:16" x14ac:dyDescent="0.25">
      <c r="A7" s="8" t="s">
        <v>333</v>
      </c>
      <c r="B7" s="4" t="s">
        <v>500</v>
      </c>
      <c r="C7" s="20">
        <f>Topline_ExC!C28</f>
        <v>3570</v>
      </c>
      <c r="D7" s="20">
        <f>Topline_ExC!D28</f>
        <v>3910</v>
      </c>
      <c r="E7" s="20">
        <f>Topline_ExC!E28</f>
        <v>3060</v>
      </c>
      <c r="F7" s="20">
        <f>Topline_ExC!F28</f>
        <v>3400</v>
      </c>
      <c r="G7" s="20">
        <f>Topline_ExC!G28</f>
        <v>3570</v>
      </c>
      <c r="H7" s="20">
        <f>Topline_ExC!H28</f>
        <v>3740</v>
      </c>
      <c r="I7" s="20">
        <f>Topline_ExC!I28</f>
        <v>4250</v>
      </c>
      <c r="J7" s="20">
        <f>Topline_ExC!J28</f>
        <v>4420</v>
      </c>
      <c r="K7" s="20">
        <f>Topline_ExC!K28</f>
        <v>5440</v>
      </c>
      <c r="L7" s="20">
        <f>Topline_ExC!L28</f>
        <v>5950</v>
      </c>
      <c r="M7" s="20">
        <f>Topline_ExC!M28</f>
        <v>6800</v>
      </c>
      <c r="N7" s="20">
        <f>Topline_ExC!N28</f>
        <v>6460</v>
      </c>
      <c r="O7" s="42">
        <f>SUM(C7:N7)</f>
        <v>54570</v>
      </c>
    </row>
    <row r="8" spans="1:16" x14ac:dyDescent="0.25">
      <c r="A8" s="8" t="s">
        <v>501</v>
      </c>
      <c r="B8" s="4" t="s">
        <v>500</v>
      </c>
      <c r="C8" s="20">
        <f>Topline_ExC!C29</f>
        <v>0</v>
      </c>
      <c r="D8" s="20">
        <f>Topline_ExC!D29</f>
        <v>-165.88800000000001</v>
      </c>
      <c r="E8" s="20">
        <f>Topline_ExC!E29</f>
        <v>0</v>
      </c>
      <c r="F8" s="20">
        <f>Topline_ExC!F29</f>
        <v>0</v>
      </c>
      <c r="G8" s="20">
        <f>Topline_ExC!G29</f>
        <v>0</v>
      </c>
      <c r="H8" s="20">
        <f>Topline_ExC!H29</f>
        <v>0</v>
      </c>
      <c r="I8" s="20">
        <f>Topline_ExC!I29</f>
        <v>0</v>
      </c>
      <c r="J8" s="20">
        <f>Topline_ExC!J29</f>
        <v>0</v>
      </c>
      <c r="K8" s="20">
        <f>Topline_ExC!K29</f>
        <v>1000</v>
      </c>
      <c r="L8" s="20">
        <f>Topline_ExC!L29</f>
        <v>0</v>
      </c>
      <c r="M8" s="20">
        <f>Topline_ExC!M29</f>
        <v>-248.83199999999999</v>
      </c>
      <c r="N8" s="20">
        <f>Topline_ExC!N29</f>
        <v>0</v>
      </c>
      <c r="O8" s="42">
        <f>SUM(C8:N8)</f>
        <v>585.28</v>
      </c>
    </row>
    <row r="9" spans="1:16" x14ac:dyDescent="0.25">
      <c r="A9" s="57" t="s">
        <v>502</v>
      </c>
      <c r="B9" s="52"/>
      <c r="C9" s="58">
        <f t="shared" ref="C9:N9" si="0">SUM(C6:C8)</f>
        <v>13502.8</v>
      </c>
      <c r="D9" s="58">
        <f t="shared" si="0"/>
        <v>14803.312</v>
      </c>
      <c r="E9" s="58">
        <f t="shared" si="0"/>
        <v>11840.8</v>
      </c>
      <c r="F9" s="58">
        <f t="shared" si="0"/>
        <v>12808</v>
      </c>
      <c r="G9" s="58">
        <f t="shared" si="0"/>
        <v>13605.2</v>
      </c>
      <c r="H9" s="58">
        <f t="shared" si="0"/>
        <v>15029.6</v>
      </c>
      <c r="I9" s="58">
        <f t="shared" si="0"/>
        <v>16794</v>
      </c>
      <c r="J9" s="58">
        <f t="shared" si="0"/>
        <v>17591.2</v>
      </c>
      <c r="K9" s="58">
        <f t="shared" si="0"/>
        <v>21492.799999999999</v>
      </c>
      <c r="L9" s="58">
        <f t="shared" si="0"/>
        <v>21316.400000000001</v>
      </c>
      <c r="M9" s="58">
        <f t="shared" si="0"/>
        <v>23139.968000000001</v>
      </c>
      <c r="N9" s="58">
        <f t="shared" si="0"/>
        <v>22140</v>
      </c>
      <c r="O9" s="54">
        <f>SUM(C9:N9)</f>
        <v>204064.08</v>
      </c>
    </row>
    <row r="10" spans="1:16" x14ac:dyDescent="0.25">
      <c r="A10" s="40" t="s">
        <v>503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x14ac:dyDescent="0.25">
      <c r="A11" s="8" t="s">
        <v>504</v>
      </c>
      <c r="B11" s="4" t="s">
        <v>505</v>
      </c>
      <c r="C11" s="56">
        <f>-Costs!C22</f>
        <v>-5226.9351019351025</v>
      </c>
      <c r="D11" s="56">
        <f>-Costs!D22</f>
        <v>-5797.0632762299438</v>
      </c>
      <c r="E11" s="56">
        <f>-Costs!E22</f>
        <v>-4587.2512903762918</v>
      </c>
      <c r="F11" s="56">
        <f>-Costs!F22</f>
        <v>-6196.580594367053</v>
      </c>
      <c r="G11" s="56">
        <f>-Costs!G22</f>
        <v>-6584.9804131054134</v>
      </c>
      <c r="H11" s="56">
        <f>-Costs!H22</f>
        <v>-7287.6633879238052</v>
      </c>
      <c r="I11" s="56">
        <f>-Costs!I22</f>
        <v>-8138.5796880588559</v>
      </c>
      <c r="J11" s="56">
        <f>-Costs!J22</f>
        <v>-8526.9795067972154</v>
      </c>
      <c r="K11" s="56">
        <f>-Costs!K22</f>
        <v>-9914.5289509872855</v>
      </c>
      <c r="L11" s="56">
        <f>-Costs!L22</f>
        <v>-10294.020517002287</v>
      </c>
      <c r="M11" s="56">
        <f>-Costs!M22</f>
        <v>-11277.135287551957</v>
      </c>
      <c r="N11" s="56">
        <f>-Costs!N22</f>
        <v>-10673.512083017293</v>
      </c>
      <c r="O11" s="42">
        <f t="shared" ref="O11:O19" si="1">SUM(C11:N11)</f>
        <v>-94505.230097352498</v>
      </c>
    </row>
    <row r="12" spans="1:16" x14ac:dyDescent="0.25">
      <c r="A12" s="8" t="s">
        <v>458</v>
      </c>
      <c r="B12" s="4" t="s">
        <v>506</v>
      </c>
      <c r="C12" s="56">
        <f>-Costs!C23</f>
        <v>0</v>
      </c>
      <c r="D12" s="56">
        <f>-Costs!D23</f>
        <v>0</v>
      </c>
      <c r="E12" s="56">
        <f>-Costs!E23</f>
        <v>-977.92945480445519</v>
      </c>
      <c r="F12" s="56">
        <f>-Costs!F23</f>
        <v>-481.63629984984345</v>
      </c>
      <c r="G12" s="56">
        <f>-Costs!G23</f>
        <v>0</v>
      </c>
      <c r="H12" s="56">
        <f>-Costs!H23</f>
        <v>0</v>
      </c>
      <c r="I12" s="56">
        <f>-Costs!I23</f>
        <v>0</v>
      </c>
      <c r="J12" s="56">
        <f>-Costs!J23</f>
        <v>0</v>
      </c>
      <c r="K12" s="56">
        <f>-Costs!K23</f>
        <v>0</v>
      </c>
      <c r="L12" s="56">
        <f>-Costs!L23</f>
        <v>0</v>
      </c>
      <c r="M12" s="56">
        <f>-Costs!M23</f>
        <v>0</v>
      </c>
      <c r="N12" s="56">
        <f>-Costs!N23</f>
        <v>-152.53779303258625</v>
      </c>
      <c r="O12" s="42">
        <f t="shared" si="1"/>
        <v>-1612.1035476868849</v>
      </c>
    </row>
    <row r="13" spans="1:16" x14ac:dyDescent="0.25">
      <c r="A13" s="8" t="s">
        <v>460</v>
      </c>
      <c r="B13" s="4" t="s">
        <v>506</v>
      </c>
      <c r="C13" s="56">
        <f>-Costs!C24</f>
        <v>-161.04</v>
      </c>
      <c r="D13" s="56">
        <f>-Costs!D24</f>
        <v>-178.52666666666664</v>
      </c>
      <c r="E13" s="56">
        <f>-Costs!E24</f>
        <v>-141.215</v>
      </c>
      <c r="F13" s="56">
        <f>-Costs!F24</f>
        <v>-190.94270833333331</v>
      </c>
      <c r="G13" s="56">
        <f>-Costs!G24</f>
        <v>-202.82499999999999</v>
      </c>
      <c r="H13" s="56">
        <f>-Costs!H24</f>
        <v>-224.04791666666668</v>
      </c>
      <c r="I13" s="56">
        <f>-Costs!I24</f>
        <v>-250.35416666666669</v>
      </c>
      <c r="J13" s="56">
        <f>-Costs!J24</f>
        <v>-262.2364583333333</v>
      </c>
      <c r="K13" s="56">
        <f>-Costs!K24</f>
        <v>-305.50833333333327</v>
      </c>
      <c r="L13" s="56">
        <f>-Costs!L24</f>
        <v>-317.80364583333329</v>
      </c>
      <c r="M13" s="56">
        <f>-Costs!M24</f>
        <v>-348.71666666666664</v>
      </c>
      <c r="N13" s="56">
        <f>-Costs!N24</f>
        <v>-330.09895833333331</v>
      </c>
      <c r="O13" s="42">
        <f t="shared" si="1"/>
        <v>-2913.3155208333333</v>
      </c>
    </row>
    <row r="14" spans="1:16" x14ac:dyDescent="0.25">
      <c r="A14" s="8" t="s">
        <v>461</v>
      </c>
      <c r="B14" s="4" t="s">
        <v>505</v>
      </c>
      <c r="C14" s="56">
        <f>-Costs!C25</f>
        <v>-732</v>
      </c>
      <c r="D14" s="56">
        <f>-Costs!D25</f>
        <v>-854</v>
      </c>
      <c r="E14" s="56">
        <f>-Costs!E25</f>
        <v>-854</v>
      </c>
      <c r="F14" s="56">
        <f>-Costs!F25</f>
        <v>-1067.5</v>
      </c>
      <c r="G14" s="56">
        <f>-Costs!G25</f>
        <v>-1067.5</v>
      </c>
      <c r="H14" s="56">
        <f>-Costs!H25</f>
        <v>-1067.5</v>
      </c>
      <c r="I14" s="56">
        <f>-Costs!I25</f>
        <v>-1220</v>
      </c>
      <c r="J14" s="56">
        <f>-Costs!J25</f>
        <v>-1220</v>
      </c>
      <c r="K14" s="56">
        <f>-Costs!K25</f>
        <v>-1372.5</v>
      </c>
      <c r="L14" s="56">
        <f>-Costs!L25</f>
        <v>-1525</v>
      </c>
      <c r="M14" s="56">
        <f>-Costs!M25</f>
        <v>-1525</v>
      </c>
      <c r="N14" s="56">
        <f>-Costs!N25</f>
        <v>-1525</v>
      </c>
      <c r="O14" s="42">
        <f t="shared" si="1"/>
        <v>-14030</v>
      </c>
    </row>
    <row r="15" spans="1:16" x14ac:dyDescent="0.25">
      <c r="A15" s="8" t="s">
        <v>507</v>
      </c>
      <c r="B15" s="4" t="s">
        <v>508</v>
      </c>
      <c r="C15" s="56">
        <f>-Costs!C26</f>
        <v>-146.39999999999998</v>
      </c>
      <c r="D15" s="56">
        <f>-Costs!D26</f>
        <v>-146.39999999999998</v>
      </c>
      <c r="E15" s="56">
        <f>-Costs!E26</f>
        <v>-146.39999999999998</v>
      </c>
      <c r="F15" s="56">
        <f>-Costs!F26</f>
        <v>-183</v>
      </c>
      <c r="G15" s="56">
        <f>-Costs!G26</f>
        <v>-183</v>
      </c>
      <c r="H15" s="56">
        <f>-Costs!H26</f>
        <v>-183</v>
      </c>
      <c r="I15" s="56">
        <f>-Costs!I26</f>
        <v>-183</v>
      </c>
      <c r="J15" s="56">
        <f>-Costs!J26</f>
        <v>-183</v>
      </c>
      <c r="K15" s="56">
        <f>-Costs!K26</f>
        <v>-244</v>
      </c>
      <c r="L15" s="56">
        <f>-Costs!L26</f>
        <v>-244</v>
      </c>
      <c r="M15" s="56">
        <f>-Costs!M26</f>
        <v>-244</v>
      </c>
      <c r="N15" s="56">
        <f>-Costs!N26</f>
        <v>-244</v>
      </c>
      <c r="O15" s="42">
        <f t="shared" si="1"/>
        <v>-2330.1999999999998</v>
      </c>
    </row>
    <row r="16" spans="1:16" x14ac:dyDescent="0.25">
      <c r="A16" s="8" t="s">
        <v>509</v>
      </c>
      <c r="B16" s="4" t="s">
        <v>510</v>
      </c>
      <c r="C16" s="56">
        <f>-(Costs!C42+Costs!C43+Costs!C44)</f>
        <v>-195.16</v>
      </c>
      <c r="D16" s="56">
        <f>-(Costs!D42+Costs!D43+Costs!D44)</f>
        <v>-211.24</v>
      </c>
      <c r="E16" s="56">
        <f>-(Costs!E42+Costs!E43+Costs!E44)</f>
        <v>-177.76</v>
      </c>
      <c r="F16" s="56">
        <f>-(Costs!F42+Costs!F43+Costs!F44)</f>
        <v>-215.74</v>
      </c>
      <c r="G16" s="56">
        <f>-(Costs!G42+Costs!G43+Costs!G44)</f>
        <v>-225.90600000000001</v>
      </c>
      <c r="H16" s="56">
        <f>-(Costs!H42+Costs!H43+Costs!H44)</f>
        <v>-245.08800000000002</v>
      </c>
      <c r="I16" s="56">
        <f>-(Costs!I42+Costs!I43+Costs!I44)</f>
        <v>-266.57</v>
      </c>
      <c r="J16" s="56">
        <f>-(Costs!J42+Costs!J43+Costs!J44)</f>
        <v>-276.73599999999999</v>
      </c>
      <c r="K16" s="56">
        <f>-(Costs!K42+Costs!K43+Costs!K44)</f>
        <v>-310.68399999999997</v>
      </c>
      <c r="L16" s="56">
        <f>-(Costs!L42+Costs!L43+Costs!L44)</f>
        <v>-318.64199999999994</v>
      </c>
      <c r="M16" s="56">
        <f>-(Costs!M42+Costs!M43+Costs!M44)</f>
        <v>-341.96399999999994</v>
      </c>
      <c r="N16" s="56">
        <f>-(Costs!N42+Costs!N43+Costs!N44)</f>
        <v>-326.59999999999997</v>
      </c>
      <c r="O16" s="42">
        <f t="shared" si="1"/>
        <v>-3112.0899999999997</v>
      </c>
    </row>
    <row r="17" spans="1:16" x14ac:dyDescent="0.25">
      <c r="A17" s="8" t="s">
        <v>230</v>
      </c>
      <c r="B17" s="4" t="s">
        <v>510</v>
      </c>
      <c r="C17" s="56">
        <f>-Costs!C45</f>
        <v>-214.21865171865176</v>
      </c>
      <c r="D17" s="56">
        <f>-Costs!D45</f>
        <v>-237.5845605012272</v>
      </c>
      <c r="E17" s="56">
        <f>-Costs!E45</f>
        <v>-228.08117808117814</v>
      </c>
      <c r="F17" s="56">
        <f>-Costs!F45</f>
        <v>-251.80162060162064</v>
      </c>
      <c r="G17" s="56">
        <f>-Costs!G45</f>
        <v>-248.28614672364668</v>
      </c>
      <c r="H17" s="56">
        <f>-Costs!H45</f>
        <v>-274.78075069220904</v>
      </c>
      <c r="I17" s="56">
        <f>-Costs!I45</f>
        <v>-306.86448004156335</v>
      </c>
      <c r="J17" s="56">
        <f>-Costs!J45</f>
        <v>-321.50906337104254</v>
      </c>
      <c r="K17" s="56">
        <f>-Costs!K45</f>
        <v>-373.82650143066809</v>
      </c>
      <c r="L17" s="56">
        <f>-Costs!L45</f>
        <v>-388.13519982139769</v>
      </c>
      <c r="M17" s="56">
        <f>-Costs!M45</f>
        <v>-425.20346166179502</v>
      </c>
      <c r="N17" s="56">
        <f>-Costs!N45</f>
        <v>-408.19532319532328</v>
      </c>
      <c r="O17" s="42">
        <f t="shared" si="1"/>
        <v>-3678.4869378403232</v>
      </c>
    </row>
    <row r="18" spans="1:16" x14ac:dyDescent="0.25">
      <c r="A18" s="57" t="s">
        <v>511</v>
      </c>
      <c r="B18" s="52"/>
      <c r="C18" s="58">
        <f t="shared" ref="C18:N18" si="2">SUM(C11:C17)</f>
        <v>-6675.7537536537538</v>
      </c>
      <c r="D18" s="58">
        <f t="shared" si="2"/>
        <v>-7424.8145033978371</v>
      </c>
      <c r="E18" s="58">
        <f t="shared" si="2"/>
        <v>-7112.6369232619254</v>
      </c>
      <c r="F18" s="58">
        <f t="shared" si="2"/>
        <v>-8587.2012231518493</v>
      </c>
      <c r="G18" s="58">
        <f t="shared" si="2"/>
        <v>-8512.4975598290603</v>
      </c>
      <c r="H18" s="58">
        <f t="shared" si="2"/>
        <v>-9282.0800552826804</v>
      </c>
      <c r="I18" s="58">
        <f t="shared" si="2"/>
        <v>-10365.368334767087</v>
      </c>
      <c r="J18" s="58">
        <f t="shared" si="2"/>
        <v>-10790.461028501591</v>
      </c>
      <c r="K18" s="58">
        <f t="shared" si="2"/>
        <v>-12521.047785751287</v>
      </c>
      <c r="L18" s="58">
        <f t="shared" si="2"/>
        <v>-13087.601362657018</v>
      </c>
      <c r="M18" s="58">
        <f t="shared" si="2"/>
        <v>-14162.019415880419</v>
      </c>
      <c r="N18" s="58">
        <f t="shared" si="2"/>
        <v>-13659.944157578537</v>
      </c>
      <c r="O18" s="54">
        <f t="shared" si="1"/>
        <v>-122181.42610371305</v>
      </c>
    </row>
    <row r="19" spans="1:16" x14ac:dyDescent="0.25">
      <c r="A19" s="59" t="s">
        <v>512</v>
      </c>
      <c r="B19" s="60"/>
      <c r="C19" s="79">
        <f t="shared" ref="C19:N19" si="3">C9+C18</f>
        <v>6827.0462463462454</v>
      </c>
      <c r="D19" s="79">
        <f t="shared" si="3"/>
        <v>7378.4974966021628</v>
      </c>
      <c r="E19" s="79">
        <f t="shared" si="3"/>
        <v>4728.1630767380739</v>
      </c>
      <c r="F19" s="79">
        <f t="shared" si="3"/>
        <v>4220.7987768481507</v>
      </c>
      <c r="G19" s="79">
        <f t="shared" si="3"/>
        <v>5092.7024401709405</v>
      </c>
      <c r="H19" s="79">
        <f t="shared" si="3"/>
        <v>5747.51994471732</v>
      </c>
      <c r="I19" s="79">
        <f t="shared" si="3"/>
        <v>6428.6316652329133</v>
      </c>
      <c r="J19" s="79">
        <f t="shared" si="3"/>
        <v>6800.7389714984092</v>
      </c>
      <c r="K19" s="79">
        <f t="shared" si="3"/>
        <v>8971.7522142487123</v>
      </c>
      <c r="L19" s="79">
        <f t="shared" si="3"/>
        <v>8228.7986373429831</v>
      </c>
      <c r="M19" s="79">
        <f t="shared" si="3"/>
        <v>8977.9485841195819</v>
      </c>
      <c r="N19" s="79">
        <f t="shared" si="3"/>
        <v>8480.0558424214632</v>
      </c>
      <c r="O19" s="62">
        <f t="shared" si="1"/>
        <v>81882.653896286967</v>
      </c>
    </row>
    <row r="20" spans="1:16" x14ac:dyDescent="0.25">
      <c r="A20" s="63" t="s">
        <v>513</v>
      </c>
      <c r="B20" s="4" t="s">
        <v>100</v>
      </c>
      <c r="C20" s="55">
        <f t="shared" ref="C20:O20" si="4">IFERROR(C19/C9,0)</f>
        <v>0.50560226370428696</v>
      </c>
      <c r="D20" s="55">
        <f t="shared" si="4"/>
        <v>0.4984355863473095</v>
      </c>
      <c r="E20" s="55">
        <f t="shared" si="4"/>
        <v>0.39931111721657947</v>
      </c>
      <c r="F20" s="55">
        <f t="shared" si="4"/>
        <v>0.32954393947908733</v>
      </c>
      <c r="G20" s="55">
        <f t="shared" si="4"/>
        <v>0.37432029225376623</v>
      </c>
      <c r="H20" s="55">
        <f t="shared" si="4"/>
        <v>0.38241336726974234</v>
      </c>
      <c r="I20" s="55">
        <f t="shared" si="4"/>
        <v>0.38279335865385933</v>
      </c>
      <c r="J20" s="55">
        <f t="shared" si="4"/>
        <v>0.38659892284201242</v>
      </c>
      <c r="K20" s="55">
        <f t="shared" si="4"/>
        <v>0.41743059137239974</v>
      </c>
      <c r="L20" s="55">
        <f t="shared" si="4"/>
        <v>0.38603134850833082</v>
      </c>
      <c r="M20" s="55">
        <f t="shared" si="4"/>
        <v>0.3879844857226934</v>
      </c>
      <c r="N20" s="55">
        <f t="shared" si="4"/>
        <v>0.38301968574622691</v>
      </c>
      <c r="O20" s="46">
        <f t="shared" si="4"/>
        <v>0.4012595156202256</v>
      </c>
    </row>
    <row r="21" spans="1:16" x14ac:dyDescent="0.25">
      <c r="A21" s="40" t="s">
        <v>514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x14ac:dyDescent="0.25">
      <c r="A22" s="8" t="s">
        <v>515</v>
      </c>
      <c r="B22" s="4" t="s">
        <v>505</v>
      </c>
      <c r="C22" s="56">
        <f>-Costs!C29</f>
        <v>-183</v>
      </c>
      <c r="D22" s="56">
        <f>-Costs!D29</f>
        <v>-366</v>
      </c>
      <c r="E22" s="56">
        <f>-Costs!E29</f>
        <v>-366</v>
      </c>
      <c r="F22" s="56">
        <f>-Costs!F29</f>
        <v>-457.5</v>
      </c>
      <c r="G22" s="56">
        <f>-Costs!G29</f>
        <v>-457.5</v>
      </c>
      <c r="H22" s="56">
        <f>-Costs!H29</f>
        <v>-457.5</v>
      </c>
      <c r="I22" s="56">
        <f>-Costs!I29</f>
        <v>-457.5</v>
      </c>
      <c r="J22" s="56">
        <f>-Costs!J29</f>
        <v>-457.5</v>
      </c>
      <c r="K22" s="56">
        <f>-Costs!K29</f>
        <v>-457.5</v>
      </c>
      <c r="L22" s="56">
        <f>-Costs!L29</f>
        <v>-457.5</v>
      </c>
      <c r="M22" s="56">
        <f>-Costs!M29</f>
        <v>-457.5</v>
      </c>
      <c r="N22" s="56">
        <f>-Costs!N29</f>
        <v>-457.5</v>
      </c>
      <c r="O22" s="42">
        <f t="shared" ref="O22:O35" si="5">SUM(C22:N22)</f>
        <v>-5032.5</v>
      </c>
    </row>
    <row r="23" spans="1:16" x14ac:dyDescent="0.25">
      <c r="A23" s="8" t="s">
        <v>465</v>
      </c>
      <c r="B23" s="4" t="s">
        <v>506</v>
      </c>
      <c r="C23" s="56">
        <f>-Costs!C30</f>
        <v>-170.79999999999998</v>
      </c>
      <c r="D23" s="56">
        <f>-Costs!D30</f>
        <v>-170.79999999999998</v>
      </c>
      <c r="E23" s="56">
        <f>-Costs!E30</f>
        <v>-170.79999999999998</v>
      </c>
      <c r="F23" s="56">
        <f>-Costs!F30</f>
        <v>-213.49999999999997</v>
      </c>
      <c r="G23" s="56">
        <f>-Costs!G30</f>
        <v>-213.49999999999997</v>
      </c>
      <c r="H23" s="56">
        <f>-Costs!H30</f>
        <v>-213.49999999999997</v>
      </c>
      <c r="I23" s="56">
        <f>-Costs!I30</f>
        <v>-213.49999999999997</v>
      </c>
      <c r="J23" s="56">
        <f>-Costs!J30</f>
        <v>-213.49999999999997</v>
      </c>
      <c r="K23" s="56">
        <f>-Costs!K30</f>
        <v>-213.49999999999997</v>
      </c>
      <c r="L23" s="56">
        <f>-Costs!L30</f>
        <v>-213.49999999999997</v>
      </c>
      <c r="M23" s="56">
        <f>-Costs!M30</f>
        <v>-213.49999999999997</v>
      </c>
      <c r="N23" s="56">
        <f>-Costs!N30</f>
        <v>-213.49999999999997</v>
      </c>
      <c r="O23" s="42">
        <f t="shared" si="5"/>
        <v>-2433.8999999999996</v>
      </c>
    </row>
    <row r="24" spans="1:16" x14ac:dyDescent="0.25">
      <c r="A24" s="8" t="s">
        <v>466</v>
      </c>
      <c r="B24" s="4" t="s">
        <v>516</v>
      </c>
      <c r="C24" s="56">
        <f>-Costs!C31</f>
        <v>-146.4</v>
      </c>
      <c r="D24" s="56">
        <f>-Costs!D31</f>
        <v>-146.4</v>
      </c>
      <c r="E24" s="56">
        <f>-Costs!E31</f>
        <v>-146.4</v>
      </c>
      <c r="F24" s="56">
        <f>-Costs!F31</f>
        <v>-183</v>
      </c>
      <c r="G24" s="56">
        <f>-Costs!G31</f>
        <v>-183</v>
      </c>
      <c r="H24" s="56">
        <f>-Costs!H31</f>
        <v>-183</v>
      </c>
      <c r="I24" s="56">
        <f>-Costs!I31</f>
        <v>-183</v>
      </c>
      <c r="J24" s="56">
        <f>-Costs!J31</f>
        <v>-183</v>
      </c>
      <c r="K24" s="56">
        <f>-Costs!K31</f>
        <v>-274.5</v>
      </c>
      <c r="L24" s="56">
        <f>-Costs!L31</f>
        <v>-274.5</v>
      </c>
      <c r="M24" s="56">
        <f>-Costs!M31</f>
        <v>-274.5</v>
      </c>
      <c r="N24" s="56">
        <f>-Costs!N31</f>
        <v>-274.5</v>
      </c>
      <c r="O24" s="42">
        <f t="shared" si="5"/>
        <v>-2452.1999999999998</v>
      </c>
    </row>
    <row r="25" spans="1:16" x14ac:dyDescent="0.25">
      <c r="A25" s="8" t="s">
        <v>517</v>
      </c>
      <c r="B25" s="4" t="s">
        <v>510</v>
      </c>
      <c r="C25" s="56">
        <f>-Costs!C32</f>
        <v>-195.2</v>
      </c>
      <c r="D25" s="56">
        <f>-Costs!D32</f>
        <v>-195.2</v>
      </c>
      <c r="E25" s="56">
        <f>-Costs!E32</f>
        <v>-195.2</v>
      </c>
      <c r="F25" s="56">
        <f>-Costs!F32</f>
        <v>-244</v>
      </c>
      <c r="G25" s="56">
        <f>-Costs!G32</f>
        <v>-244</v>
      </c>
      <c r="H25" s="56">
        <f>-Costs!H32</f>
        <v>-244</v>
      </c>
      <c r="I25" s="56">
        <f>-Costs!I32</f>
        <v>-244</v>
      </c>
      <c r="J25" s="56">
        <f>-Costs!J32</f>
        <v>-244</v>
      </c>
      <c r="K25" s="56">
        <f>-Costs!K32</f>
        <v>-244</v>
      </c>
      <c r="L25" s="56">
        <f>-Costs!L32</f>
        <v>-244</v>
      </c>
      <c r="M25" s="56">
        <f>-Costs!M32</f>
        <v>-244</v>
      </c>
      <c r="N25" s="56">
        <f>-Costs!N32</f>
        <v>-244</v>
      </c>
      <c r="O25" s="42">
        <f t="shared" si="5"/>
        <v>-2781.6</v>
      </c>
    </row>
    <row r="26" spans="1:16" x14ac:dyDescent="0.25">
      <c r="A26" s="8" t="s">
        <v>518</v>
      </c>
      <c r="B26" s="4" t="s">
        <v>519</v>
      </c>
      <c r="C26" s="56">
        <f>-Costs!C33</f>
        <v>-109.8</v>
      </c>
      <c r="D26" s="56">
        <f>-Costs!D33</f>
        <v>-109.8</v>
      </c>
      <c r="E26" s="56">
        <f>-Costs!E33</f>
        <v>-109.8</v>
      </c>
      <c r="F26" s="56">
        <f>-Costs!F33</f>
        <v>-137.25</v>
      </c>
      <c r="G26" s="56">
        <f>-Costs!G33</f>
        <v>-137.25</v>
      </c>
      <c r="H26" s="56">
        <f>-Costs!H33</f>
        <v>-137.25</v>
      </c>
      <c r="I26" s="56">
        <f>-Costs!I33</f>
        <v>-137.25</v>
      </c>
      <c r="J26" s="56">
        <f>-Costs!J33</f>
        <v>-137.25</v>
      </c>
      <c r="K26" s="56">
        <f>-Costs!K33</f>
        <v>-137.25</v>
      </c>
      <c r="L26" s="56">
        <f>-Costs!L33</f>
        <v>-137.25</v>
      </c>
      <c r="M26" s="56">
        <f>-Costs!M33</f>
        <v>-137.25</v>
      </c>
      <c r="N26" s="56">
        <f>-Costs!N33</f>
        <v>-137.25</v>
      </c>
      <c r="O26" s="42">
        <f t="shared" si="5"/>
        <v>-1564.65</v>
      </c>
    </row>
    <row r="27" spans="1:16" x14ac:dyDescent="0.25">
      <c r="A27" s="8" t="s">
        <v>520</v>
      </c>
      <c r="B27" s="4" t="s">
        <v>519</v>
      </c>
      <c r="C27" s="56">
        <f>-Costs!C40</f>
        <v>-125.10369260369288</v>
      </c>
      <c r="D27" s="56">
        <f>-Costs!D40</f>
        <v>-466.24596082929463</v>
      </c>
      <c r="E27" s="56">
        <f>-Costs!E40</f>
        <v>0</v>
      </c>
      <c r="F27" s="56">
        <f>-Costs!F40</f>
        <v>0</v>
      </c>
      <c r="G27" s="56">
        <f>-Costs!G40</f>
        <v>-102.68191559921422</v>
      </c>
      <c r="H27" s="56">
        <f>-Costs!H40</f>
        <v>-570.46361528132377</v>
      </c>
      <c r="I27" s="56">
        <f>-Costs!I40</f>
        <v>-674.59132033090418</v>
      </c>
      <c r="J27" s="56">
        <f>-Costs!J40</f>
        <v>-421.57749320509708</v>
      </c>
      <c r="K27" s="56">
        <f>-Costs!K40</f>
        <v>-1020.7410336577005</v>
      </c>
      <c r="L27" s="56">
        <f>-Costs!L40</f>
        <v>-458.26458230234232</v>
      </c>
      <c r="M27" s="56">
        <f>-Costs!M40</f>
        <v>-823.66260321468781</v>
      </c>
      <c r="N27" s="56">
        <f>-Costs!N40</f>
        <v>0</v>
      </c>
      <c r="O27" s="42">
        <f t="shared" si="5"/>
        <v>-4663.3322170242573</v>
      </c>
    </row>
    <row r="28" spans="1:16" x14ac:dyDescent="0.25">
      <c r="A28" s="8" t="s">
        <v>521</v>
      </c>
      <c r="B28" s="4" t="s">
        <v>522</v>
      </c>
      <c r="C28" s="56">
        <f>-Costs!C51</f>
        <v>-1288</v>
      </c>
      <c r="D28" s="56">
        <f>-Costs!D51</f>
        <v>-1304</v>
      </c>
      <c r="E28" s="56">
        <f>-Costs!E51</f>
        <v>-1298</v>
      </c>
      <c r="F28" s="56">
        <f>-Costs!F51</f>
        <v>-1318.9</v>
      </c>
      <c r="G28" s="56">
        <f>-Costs!G51</f>
        <v>-1316.6</v>
      </c>
      <c r="H28" s="56">
        <f>-Costs!H51</f>
        <v>-1330.4</v>
      </c>
      <c r="I28" s="56">
        <f>-Costs!I51</f>
        <v>-1351.1</v>
      </c>
      <c r="J28" s="56">
        <f>-Costs!J51</f>
        <v>-1358</v>
      </c>
      <c r="K28" s="56">
        <f>-Costs!K51</f>
        <v>-1392.5</v>
      </c>
      <c r="L28" s="56">
        <f>-Costs!L51</f>
        <v>-1404</v>
      </c>
      <c r="M28" s="56">
        <f>-Costs!M51</f>
        <v>-1422.4</v>
      </c>
      <c r="N28" s="56">
        <f>-Costs!N51</f>
        <v>-1413.2</v>
      </c>
      <c r="O28" s="42">
        <f t="shared" si="5"/>
        <v>-16197.1</v>
      </c>
    </row>
    <row r="29" spans="1:16" x14ac:dyDescent="0.25">
      <c r="A29" s="8" t="s">
        <v>523</v>
      </c>
      <c r="B29" s="4" t="s">
        <v>510</v>
      </c>
      <c r="C29" s="56">
        <f>-Costs!C46</f>
        <v>-150</v>
      </c>
      <c r="D29" s="56">
        <f>-Costs!D46</f>
        <v>-150</v>
      </c>
      <c r="E29" s="56">
        <f>-Costs!E46</f>
        <v>-150</v>
      </c>
      <c r="F29" s="56">
        <f>-Costs!F46</f>
        <v>-172.5</v>
      </c>
      <c r="G29" s="56">
        <f>-Costs!G46</f>
        <v>-172.5</v>
      </c>
      <c r="H29" s="56">
        <f>-Costs!H46</f>
        <v>-172.5</v>
      </c>
      <c r="I29" s="56">
        <f>-Costs!I46</f>
        <v>-172.5</v>
      </c>
      <c r="J29" s="56">
        <f>-Costs!J46</f>
        <v>-172.5</v>
      </c>
      <c r="K29" s="56">
        <f>-Costs!K46</f>
        <v>-172.5</v>
      </c>
      <c r="L29" s="56">
        <f>-Costs!L46</f>
        <v>-172.5</v>
      </c>
      <c r="M29" s="56">
        <f>-Costs!M46</f>
        <v>-172.5</v>
      </c>
      <c r="N29" s="56">
        <f>-Costs!N46</f>
        <v>-172.5</v>
      </c>
      <c r="O29" s="42">
        <f t="shared" si="5"/>
        <v>-2002.5</v>
      </c>
    </row>
    <row r="30" spans="1:16" x14ac:dyDescent="0.25">
      <c r="A30" s="8" t="s">
        <v>524</v>
      </c>
      <c r="B30" s="4" t="s">
        <v>126</v>
      </c>
      <c r="C30" s="56">
        <f>-Costs!C34</f>
        <v>-427</v>
      </c>
      <c r="D30" s="56">
        <f>-Costs!D34</f>
        <v>-427</v>
      </c>
      <c r="E30" s="56">
        <f>-Costs!E34</f>
        <v>-427</v>
      </c>
      <c r="F30" s="56">
        <f>-Costs!F34</f>
        <v>-533.75</v>
      </c>
      <c r="G30" s="56">
        <f>-Costs!G34</f>
        <v>-533.75</v>
      </c>
      <c r="H30" s="56">
        <f>-Costs!H34</f>
        <v>-533.75</v>
      </c>
      <c r="I30" s="56">
        <f>-Costs!I34</f>
        <v>-533.75</v>
      </c>
      <c r="J30" s="56">
        <f>-Costs!J34</f>
        <v>-533.75</v>
      </c>
      <c r="K30" s="56">
        <f>-Costs!K34</f>
        <v>-533.75</v>
      </c>
      <c r="L30" s="56">
        <f>-Costs!L34</f>
        <v>-533.75</v>
      </c>
      <c r="M30" s="56">
        <f>-Costs!M34</f>
        <v>-533.75</v>
      </c>
      <c r="N30" s="56">
        <f>-Costs!N34</f>
        <v>-533.75</v>
      </c>
      <c r="O30" s="42">
        <f t="shared" si="5"/>
        <v>-6084.75</v>
      </c>
    </row>
    <row r="31" spans="1:16" x14ac:dyDescent="0.25">
      <c r="A31" s="8" t="s">
        <v>469</v>
      </c>
      <c r="B31" s="4" t="s">
        <v>500</v>
      </c>
      <c r="C31" s="56">
        <f>-Costs!C35</f>
        <v>-292.8</v>
      </c>
      <c r="D31" s="56">
        <f>-Costs!D35</f>
        <v>-292.8</v>
      </c>
      <c r="E31" s="56">
        <f>-Costs!E35</f>
        <v>-292.8</v>
      </c>
      <c r="F31" s="56">
        <f>-Costs!F35</f>
        <v>-366</v>
      </c>
      <c r="G31" s="56">
        <f>-Costs!G35</f>
        <v>-366</v>
      </c>
      <c r="H31" s="56">
        <f>-Costs!H35</f>
        <v>-366</v>
      </c>
      <c r="I31" s="56">
        <f>-Costs!I35</f>
        <v>-366</v>
      </c>
      <c r="J31" s="56">
        <f>-Costs!J35</f>
        <v>-366</v>
      </c>
      <c r="K31" s="56">
        <f>-Costs!K35</f>
        <v>-366</v>
      </c>
      <c r="L31" s="56">
        <f>-Costs!L35</f>
        <v>-366</v>
      </c>
      <c r="M31" s="56">
        <f>-Costs!M35</f>
        <v>-366</v>
      </c>
      <c r="N31" s="56">
        <f>-Costs!N35</f>
        <v>-366</v>
      </c>
      <c r="O31" s="42">
        <f t="shared" si="5"/>
        <v>-4172.3999999999996</v>
      </c>
    </row>
    <row r="32" spans="1:16" x14ac:dyDescent="0.25">
      <c r="A32" s="8" t="s">
        <v>264</v>
      </c>
      <c r="B32" s="4" t="s">
        <v>525</v>
      </c>
      <c r="C32" s="56">
        <f>-Costs!C53</f>
        <v>-405.08399999999995</v>
      </c>
      <c r="D32" s="56">
        <f>-Costs!D53</f>
        <v>-444.09935999999999</v>
      </c>
      <c r="E32" s="56">
        <f>-Costs!E53</f>
        <v>-355.22399999999999</v>
      </c>
      <c r="F32" s="56">
        <f>-Costs!F53</f>
        <v>-384.24</v>
      </c>
      <c r="G32" s="56">
        <f>-Costs!G53</f>
        <v>-408.15600000000001</v>
      </c>
      <c r="H32" s="56">
        <f>-Costs!H53</f>
        <v>-450.88799999999998</v>
      </c>
      <c r="I32" s="56">
        <f>-Costs!I53</f>
        <v>-503.82</v>
      </c>
      <c r="J32" s="56">
        <f>-Costs!J53</f>
        <v>-527.73599999999999</v>
      </c>
      <c r="K32" s="56">
        <f>-Costs!K53</f>
        <v>-644.78399999999999</v>
      </c>
      <c r="L32" s="56">
        <f>-Costs!L53</f>
        <v>-639.49200000000008</v>
      </c>
      <c r="M32" s="56">
        <f>-Costs!M53</f>
        <v>-694.19903999999997</v>
      </c>
      <c r="N32" s="56">
        <f>-Costs!N53</f>
        <v>-664.19999999999993</v>
      </c>
      <c r="O32" s="42">
        <f t="shared" si="5"/>
        <v>-6121.9224000000004</v>
      </c>
    </row>
    <row r="33" spans="1:16" x14ac:dyDescent="0.25">
      <c r="A33" s="8" t="s">
        <v>526</v>
      </c>
      <c r="B33" s="4" t="s">
        <v>525</v>
      </c>
      <c r="C33" s="56">
        <f>-Costs!C54</f>
        <v>-107.6874606874607</v>
      </c>
      <c r="D33" s="56">
        <f>-Costs!D54</f>
        <v>-119.03382420049088</v>
      </c>
      <c r="E33" s="56">
        <f>-Costs!E54</f>
        <v>-115.23247123247126</v>
      </c>
      <c r="F33" s="56">
        <f>-Costs!F54</f>
        <v>-128.32064824064827</v>
      </c>
      <c r="G33" s="56">
        <f>-Costs!G54</f>
        <v>-126.91445868945868</v>
      </c>
      <c r="H33" s="56">
        <f>-Costs!H54</f>
        <v>-137.51230027688362</v>
      </c>
      <c r="I33" s="56">
        <f>-Costs!I54</f>
        <v>-151.49579201662539</v>
      </c>
      <c r="J33" s="56">
        <f>-Costs!J54</f>
        <v>-157.35362534841701</v>
      </c>
      <c r="K33" s="56">
        <f>-Costs!K54</f>
        <v>-181.73060057226724</v>
      </c>
      <c r="L33" s="56">
        <f>-Costs!L54</f>
        <v>-188.60407992855909</v>
      </c>
      <c r="M33" s="56">
        <f>-Costs!M54</f>
        <v>-203.43138466471802</v>
      </c>
      <c r="N33" s="56">
        <f>-Costs!N54</f>
        <v>-196.62812927812931</v>
      </c>
      <c r="O33" s="42">
        <f t="shared" si="5"/>
        <v>-1813.9447751361292</v>
      </c>
    </row>
    <row r="34" spans="1:16" x14ac:dyDescent="0.25">
      <c r="A34" s="57" t="s">
        <v>527</v>
      </c>
      <c r="B34" s="52"/>
      <c r="C34" s="58">
        <f t="shared" ref="C34:N34" si="6">SUM(C22:C33)</f>
        <v>-3600.8751532911538</v>
      </c>
      <c r="D34" s="58">
        <f t="shared" si="6"/>
        <v>-4191.3791450297858</v>
      </c>
      <c r="E34" s="58">
        <f t="shared" si="6"/>
        <v>-3626.4564712324714</v>
      </c>
      <c r="F34" s="58">
        <f t="shared" si="6"/>
        <v>-4138.9606482406489</v>
      </c>
      <c r="G34" s="58">
        <f t="shared" si="6"/>
        <v>-4261.8523742886737</v>
      </c>
      <c r="H34" s="58">
        <f t="shared" si="6"/>
        <v>-4796.7639155582065</v>
      </c>
      <c r="I34" s="58">
        <f t="shared" si="6"/>
        <v>-4988.5071123475291</v>
      </c>
      <c r="J34" s="58">
        <f t="shared" si="6"/>
        <v>-4772.1671185535142</v>
      </c>
      <c r="K34" s="58">
        <f t="shared" si="6"/>
        <v>-5638.7556342299677</v>
      </c>
      <c r="L34" s="58">
        <f t="shared" si="6"/>
        <v>-5089.3606622309017</v>
      </c>
      <c r="M34" s="58">
        <f t="shared" si="6"/>
        <v>-5542.6930278794061</v>
      </c>
      <c r="N34" s="58">
        <f t="shared" si="6"/>
        <v>-4673.0281292781292</v>
      </c>
      <c r="O34" s="54">
        <f t="shared" si="5"/>
        <v>-55320.799392160392</v>
      </c>
    </row>
    <row r="35" spans="1:16" x14ac:dyDescent="0.25">
      <c r="A35" s="59" t="s">
        <v>53</v>
      </c>
      <c r="B35" s="60"/>
      <c r="C35" s="79">
        <f t="shared" ref="C35:N35" si="7">C19+C34</f>
        <v>3226.1710930550917</v>
      </c>
      <c r="D35" s="79">
        <f t="shared" si="7"/>
        <v>3187.1183515723769</v>
      </c>
      <c r="E35" s="79">
        <f t="shared" si="7"/>
        <v>1101.7066055056025</v>
      </c>
      <c r="F35" s="79">
        <f t="shared" si="7"/>
        <v>81.838128607501858</v>
      </c>
      <c r="G35" s="79">
        <f t="shared" si="7"/>
        <v>830.85006588226679</v>
      </c>
      <c r="H35" s="79">
        <f t="shared" si="7"/>
        <v>950.7560291591135</v>
      </c>
      <c r="I35" s="79">
        <f t="shared" si="7"/>
        <v>1440.1245528853842</v>
      </c>
      <c r="J35" s="79">
        <f t="shared" si="7"/>
        <v>2028.571852944895</v>
      </c>
      <c r="K35" s="79">
        <f t="shared" si="7"/>
        <v>3332.9965800187447</v>
      </c>
      <c r="L35" s="79">
        <f t="shared" si="7"/>
        <v>3139.4379751120814</v>
      </c>
      <c r="M35" s="79">
        <f t="shared" si="7"/>
        <v>3435.2555562401758</v>
      </c>
      <c r="N35" s="79">
        <f t="shared" si="7"/>
        <v>3807.027713143334</v>
      </c>
      <c r="O35" s="62">
        <f t="shared" si="5"/>
        <v>26561.854504126568</v>
      </c>
    </row>
    <row r="36" spans="1:16" x14ac:dyDescent="0.25">
      <c r="A36" s="63" t="s">
        <v>528</v>
      </c>
      <c r="B36" s="4" t="s">
        <v>100</v>
      </c>
      <c r="C36" s="55">
        <f t="shared" ref="C36:O36" si="8">IFERROR(C35/C9,0)</f>
        <v>0.23892608148347691</v>
      </c>
      <c r="D36" s="55">
        <f t="shared" si="8"/>
        <v>0.21529765444195034</v>
      </c>
      <c r="E36" s="55">
        <f t="shared" si="8"/>
        <v>9.3043257677319316E-2</v>
      </c>
      <c r="F36" s="55">
        <f t="shared" si="8"/>
        <v>6.389610291029189E-3</v>
      </c>
      <c r="G36" s="55">
        <f t="shared" si="8"/>
        <v>6.1068566862836765E-2</v>
      </c>
      <c r="H36" s="55">
        <f t="shared" si="8"/>
        <v>6.3258904372645544E-2</v>
      </c>
      <c r="I36" s="55">
        <f t="shared" si="8"/>
        <v>8.5752325407013469E-2</v>
      </c>
      <c r="J36" s="55">
        <f t="shared" si="8"/>
        <v>0.11531742308341074</v>
      </c>
      <c r="K36" s="55">
        <f t="shared" si="8"/>
        <v>0.1550750288477418</v>
      </c>
      <c r="L36" s="55">
        <f t="shared" si="8"/>
        <v>0.14727805704115524</v>
      </c>
      <c r="M36" s="55">
        <f t="shared" si="8"/>
        <v>0.14845550159102103</v>
      </c>
      <c r="N36" s="55">
        <f t="shared" si="8"/>
        <v>0.17195247123501961</v>
      </c>
      <c r="O36" s="46">
        <f t="shared" si="8"/>
        <v>0.13016428223980708</v>
      </c>
    </row>
    <row r="37" spans="1:16" x14ac:dyDescent="0.25">
      <c r="A37" s="8" t="s">
        <v>529</v>
      </c>
      <c r="B37" s="4" t="s">
        <v>525</v>
      </c>
      <c r="C37" s="56">
        <f>-Costs!C58</f>
        <v>-313.33333333333331</v>
      </c>
      <c r="D37" s="56">
        <f>-Costs!D58</f>
        <v>-313.33333333333331</v>
      </c>
      <c r="E37" s="56">
        <f>-Costs!E58</f>
        <v>-313.33333333333331</v>
      </c>
      <c r="F37" s="56">
        <f>-Costs!F58</f>
        <v>-313.33333333333331</v>
      </c>
      <c r="G37" s="56">
        <f>-Costs!G58</f>
        <v>-313.33333333333331</v>
      </c>
      <c r="H37" s="56">
        <f>-Costs!H58</f>
        <v>-313.33333333333331</v>
      </c>
      <c r="I37" s="56">
        <f>-Costs!I58</f>
        <v>-313.33333333333331</v>
      </c>
      <c r="J37" s="56">
        <f>-Costs!J58</f>
        <v>-313.33333333333331</v>
      </c>
      <c r="K37" s="56">
        <f>-Costs!K58</f>
        <v>-313.33333333333331</v>
      </c>
      <c r="L37" s="56">
        <f>-Costs!L58</f>
        <v>-313.33333333333331</v>
      </c>
      <c r="M37" s="56">
        <f>-Costs!M58</f>
        <v>-313.33333333333331</v>
      </c>
      <c r="N37" s="56">
        <f>-Costs!N58</f>
        <v>-313.33333333333331</v>
      </c>
      <c r="O37" s="42">
        <f t="shared" ref="O37:O42" si="9">SUM(C37:N37)</f>
        <v>-3760.0000000000005</v>
      </c>
    </row>
    <row r="38" spans="1:16" x14ac:dyDescent="0.25">
      <c r="A38" s="57" t="s">
        <v>530</v>
      </c>
      <c r="B38" s="52"/>
      <c r="C38" s="58">
        <f t="shared" ref="C38:N38" si="10">C35+C37</f>
        <v>2912.8377597217582</v>
      </c>
      <c r="D38" s="58">
        <f t="shared" si="10"/>
        <v>2873.7850182390434</v>
      </c>
      <c r="E38" s="58">
        <f t="shared" si="10"/>
        <v>788.37327217226925</v>
      </c>
      <c r="F38" s="58">
        <f t="shared" si="10"/>
        <v>-231.49520472583146</v>
      </c>
      <c r="G38" s="58">
        <f t="shared" si="10"/>
        <v>517.51673254893353</v>
      </c>
      <c r="H38" s="58">
        <f t="shared" si="10"/>
        <v>637.42269582578024</v>
      </c>
      <c r="I38" s="58">
        <f t="shared" si="10"/>
        <v>1126.791219552051</v>
      </c>
      <c r="J38" s="58">
        <f t="shared" si="10"/>
        <v>1715.2385196115617</v>
      </c>
      <c r="K38" s="58">
        <f t="shared" si="10"/>
        <v>3019.6632466854112</v>
      </c>
      <c r="L38" s="58">
        <f t="shared" si="10"/>
        <v>2826.1046417787479</v>
      </c>
      <c r="M38" s="58">
        <f t="shared" si="10"/>
        <v>3121.9222229068423</v>
      </c>
      <c r="N38" s="58">
        <f t="shared" si="10"/>
        <v>3493.6943798100006</v>
      </c>
      <c r="O38" s="54">
        <f t="shared" si="9"/>
        <v>22801.854504126568</v>
      </c>
    </row>
    <row r="39" spans="1:16" x14ac:dyDescent="0.25">
      <c r="A39" s="8" t="s">
        <v>272</v>
      </c>
      <c r="B39" s="4" t="s">
        <v>525</v>
      </c>
      <c r="C39" s="56">
        <f>-Assumptions!$C$63</f>
        <v>0</v>
      </c>
      <c r="D39" s="56">
        <f>-Assumptions!$C$63</f>
        <v>0</v>
      </c>
      <c r="E39" s="56">
        <f>-Assumptions!$C$63</f>
        <v>0</v>
      </c>
      <c r="F39" s="56">
        <f>-Assumptions!$C$63</f>
        <v>0</v>
      </c>
      <c r="G39" s="56">
        <f>-Assumptions!$C$63</f>
        <v>0</v>
      </c>
      <c r="H39" s="56">
        <f>-Assumptions!$C$63</f>
        <v>0</v>
      </c>
      <c r="I39" s="56">
        <f>-Assumptions!$C$63</f>
        <v>0</v>
      </c>
      <c r="J39" s="56">
        <f>-Assumptions!$C$63</f>
        <v>0</v>
      </c>
      <c r="K39" s="56">
        <f>-Assumptions!$C$63</f>
        <v>0</v>
      </c>
      <c r="L39" s="56">
        <f>-Assumptions!$C$63</f>
        <v>0</v>
      </c>
      <c r="M39" s="56">
        <f>-Assumptions!$C$63</f>
        <v>0</v>
      </c>
      <c r="N39" s="56">
        <f>-Assumptions!$C$63</f>
        <v>0</v>
      </c>
      <c r="O39" s="42">
        <f t="shared" si="9"/>
        <v>0</v>
      </c>
    </row>
    <row r="40" spans="1:16" x14ac:dyDescent="0.25">
      <c r="A40" s="57" t="s">
        <v>531</v>
      </c>
      <c r="B40" s="52"/>
      <c r="C40" s="58">
        <f t="shared" ref="C40:N40" si="11">C38+C39</f>
        <v>2912.8377597217582</v>
      </c>
      <c r="D40" s="58">
        <f t="shared" si="11"/>
        <v>2873.7850182390434</v>
      </c>
      <c r="E40" s="58">
        <f t="shared" si="11"/>
        <v>788.37327217226925</v>
      </c>
      <c r="F40" s="58">
        <f t="shared" si="11"/>
        <v>-231.49520472583146</v>
      </c>
      <c r="G40" s="58">
        <f t="shared" si="11"/>
        <v>517.51673254893353</v>
      </c>
      <c r="H40" s="58">
        <f t="shared" si="11"/>
        <v>637.42269582578024</v>
      </c>
      <c r="I40" s="58">
        <f t="shared" si="11"/>
        <v>1126.791219552051</v>
      </c>
      <c r="J40" s="58">
        <f t="shared" si="11"/>
        <v>1715.2385196115617</v>
      </c>
      <c r="K40" s="58">
        <f t="shared" si="11"/>
        <v>3019.6632466854112</v>
      </c>
      <c r="L40" s="58">
        <f t="shared" si="11"/>
        <v>2826.1046417787479</v>
      </c>
      <c r="M40" s="58">
        <f t="shared" si="11"/>
        <v>3121.9222229068423</v>
      </c>
      <c r="N40" s="58">
        <f t="shared" si="11"/>
        <v>3493.6943798100006</v>
      </c>
      <c r="O40" s="54">
        <f t="shared" si="9"/>
        <v>22801.854504126568</v>
      </c>
    </row>
    <row r="41" spans="1:16" x14ac:dyDescent="0.25">
      <c r="A41" s="8" t="s">
        <v>532</v>
      </c>
      <c r="B41" s="4" t="s">
        <v>525</v>
      </c>
      <c r="C41" s="56">
        <f>-C40*Assumptions!$C$18</f>
        <v>-640.82430713878682</v>
      </c>
      <c r="D41" s="56">
        <f>-D40*Assumptions!$C$18</f>
        <v>-632.23270401258958</v>
      </c>
      <c r="E41" s="56">
        <f>-E40*Assumptions!$C$18</f>
        <v>-173.44211987789924</v>
      </c>
      <c r="F41" s="56">
        <f>-F40*Assumptions!$C$18</f>
        <v>50.928945039682922</v>
      </c>
      <c r="G41" s="56">
        <f>-G40*Assumptions!$C$18</f>
        <v>-113.85368116076538</v>
      </c>
      <c r="H41" s="56">
        <f>-H40*Assumptions!$C$18</f>
        <v>-140.23299308167165</v>
      </c>
      <c r="I41" s="56">
        <f>-I40*Assumptions!$C$18</f>
        <v>-247.8940683014512</v>
      </c>
      <c r="J41" s="56">
        <f>-J40*Assumptions!$C$18</f>
        <v>-377.3524743145436</v>
      </c>
      <c r="K41" s="56">
        <f>-K40*Assumptions!$C$18</f>
        <v>-664.32591427079046</v>
      </c>
      <c r="L41" s="56">
        <f>-L40*Assumptions!$C$18</f>
        <v>-621.7430211913246</v>
      </c>
      <c r="M41" s="56">
        <f>-M40*Assumptions!$C$18</f>
        <v>-686.8228890395053</v>
      </c>
      <c r="N41" s="56">
        <f>-N40*Assumptions!$C$18</f>
        <v>-768.61276355820007</v>
      </c>
      <c r="O41" s="42">
        <f t="shared" si="9"/>
        <v>-5016.4079909078446</v>
      </c>
      <c r="P41" s="45" t="s">
        <v>533</v>
      </c>
    </row>
    <row r="42" spans="1:16" x14ac:dyDescent="0.25">
      <c r="A42" s="59" t="s">
        <v>534</v>
      </c>
      <c r="B42" s="60"/>
      <c r="C42" s="79">
        <f t="shared" ref="C42:N42" si="12">C40+C41</f>
        <v>2272.0134525829712</v>
      </c>
      <c r="D42" s="79">
        <f t="shared" si="12"/>
        <v>2241.5523142264537</v>
      </c>
      <c r="E42" s="79">
        <f t="shared" si="12"/>
        <v>614.93115229437001</v>
      </c>
      <c r="F42" s="79">
        <f t="shared" si="12"/>
        <v>-180.56625968614853</v>
      </c>
      <c r="G42" s="79">
        <f t="shared" si="12"/>
        <v>403.66305138816813</v>
      </c>
      <c r="H42" s="79">
        <f t="shared" si="12"/>
        <v>497.18970274410856</v>
      </c>
      <c r="I42" s="79">
        <f t="shared" si="12"/>
        <v>878.89715125059979</v>
      </c>
      <c r="J42" s="79">
        <f t="shared" si="12"/>
        <v>1337.8860452970182</v>
      </c>
      <c r="K42" s="79">
        <f t="shared" si="12"/>
        <v>2355.3373324146205</v>
      </c>
      <c r="L42" s="79">
        <f t="shared" si="12"/>
        <v>2204.3616205874232</v>
      </c>
      <c r="M42" s="79">
        <f t="shared" si="12"/>
        <v>2435.099333867337</v>
      </c>
      <c r="N42" s="79">
        <f t="shared" si="12"/>
        <v>2725.0816162518004</v>
      </c>
      <c r="O42" s="62">
        <f t="shared" si="9"/>
        <v>17785.446513218718</v>
      </c>
    </row>
    <row r="43" spans="1:16" x14ac:dyDescent="0.25">
      <c r="A43" s="63" t="s">
        <v>535</v>
      </c>
      <c r="B43" s="4" t="s">
        <v>100</v>
      </c>
      <c r="C43" s="55">
        <f t="shared" ref="C43:O43" si="13">IFERROR(C42/C9,0)</f>
        <v>0.16826239391703732</v>
      </c>
      <c r="D43" s="55">
        <f t="shared" si="13"/>
        <v>0.15142235158094713</v>
      </c>
      <c r="E43" s="55">
        <f t="shared" si="13"/>
        <v>5.1933243724610674E-2</v>
      </c>
      <c r="F43" s="55">
        <f t="shared" si="13"/>
        <v>-1.4097927833084676E-2</v>
      </c>
      <c r="G43" s="55">
        <f t="shared" si="13"/>
        <v>2.9669762398801054E-2</v>
      </c>
      <c r="H43" s="55">
        <f t="shared" si="13"/>
        <v>3.3080700933099255E-2</v>
      </c>
      <c r="I43" s="55">
        <f t="shared" si="13"/>
        <v>5.2333997335393581E-2</v>
      </c>
      <c r="J43" s="55">
        <f t="shared" si="13"/>
        <v>7.6054279713550985E-2</v>
      </c>
      <c r="K43" s="55">
        <f t="shared" si="13"/>
        <v>0.109587272594293</v>
      </c>
      <c r="L43" s="55">
        <f t="shared" si="13"/>
        <v>0.1034115338700448</v>
      </c>
      <c r="M43" s="55">
        <f t="shared" si="13"/>
        <v>0.10523347888239677</v>
      </c>
      <c r="N43" s="55">
        <f t="shared" si="13"/>
        <v>0.12308408384154473</v>
      </c>
      <c r="O43" s="46">
        <f t="shared" si="13"/>
        <v>8.7156184043848964E-2</v>
      </c>
    </row>
    <row r="45" spans="1:16" x14ac:dyDescent="0.25">
      <c r="A45" s="40" t="s">
        <v>536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x14ac:dyDescent="0.25">
      <c r="A46" s="8" t="s">
        <v>537</v>
      </c>
      <c r="B46" s="4" t="s">
        <v>301</v>
      </c>
      <c r="C46" s="20">
        <f>Topline_ExC!C16</f>
        <v>310400</v>
      </c>
      <c r="D46" s="20">
        <f>Topline_ExC!D16</f>
        <v>345600</v>
      </c>
      <c r="E46" s="20">
        <f>Topline_ExC!E16</f>
        <v>274400</v>
      </c>
      <c r="F46" s="20">
        <f>Topline_ExC!F16</f>
        <v>294000</v>
      </c>
      <c r="G46" s="20">
        <f>Topline_ExC!G16</f>
        <v>313600</v>
      </c>
      <c r="H46" s="20">
        <f>Topline_ExC!H16</f>
        <v>352800</v>
      </c>
      <c r="I46" s="20">
        <f>Topline_ExC!I16</f>
        <v>392000</v>
      </c>
      <c r="J46" s="20">
        <f>Topline_ExC!J16</f>
        <v>411600</v>
      </c>
      <c r="K46" s="20">
        <f>Topline_ExC!K16</f>
        <v>470400</v>
      </c>
      <c r="L46" s="20">
        <f>Topline_ExC!L16</f>
        <v>480200</v>
      </c>
      <c r="M46" s="20">
        <f>Topline_ExC!M16</f>
        <v>518400</v>
      </c>
      <c r="N46" s="20">
        <f>Topline_ExC!N16</f>
        <v>490000</v>
      </c>
      <c r="O46" s="42">
        <f>SUM(C46:N46)</f>
        <v>4653400</v>
      </c>
    </row>
    <row r="47" spans="1:16" x14ac:dyDescent="0.25">
      <c r="A47" s="8" t="s">
        <v>538</v>
      </c>
      <c r="B47" s="4" t="s">
        <v>301</v>
      </c>
      <c r="C47" s="20">
        <f>Topline_ExC!C17</f>
        <v>210000</v>
      </c>
      <c r="D47" s="20">
        <f>Topline_ExC!D17</f>
        <v>230000</v>
      </c>
      <c r="E47" s="20">
        <f>Topline_ExC!E17</f>
        <v>180000</v>
      </c>
      <c r="F47" s="20">
        <f>Topline_ExC!F17</f>
        <v>200000</v>
      </c>
      <c r="G47" s="20">
        <f>Topline_ExC!G17</f>
        <v>210000</v>
      </c>
      <c r="H47" s="20">
        <f>Topline_ExC!H17</f>
        <v>220000</v>
      </c>
      <c r="I47" s="20">
        <f>Topline_ExC!I17</f>
        <v>250000</v>
      </c>
      <c r="J47" s="20">
        <f>Topline_ExC!J17</f>
        <v>260000</v>
      </c>
      <c r="K47" s="20">
        <f>Topline_ExC!K17</f>
        <v>320000</v>
      </c>
      <c r="L47" s="20">
        <f>Topline_ExC!L17</f>
        <v>350000</v>
      </c>
      <c r="M47" s="20">
        <f>Topline_ExC!M17</f>
        <v>400000</v>
      </c>
      <c r="N47" s="20">
        <f>Topline_ExC!N17</f>
        <v>380000</v>
      </c>
      <c r="O47" s="42">
        <f>SUM(C47:N47)</f>
        <v>3210000</v>
      </c>
    </row>
    <row r="48" spans="1:16" x14ac:dyDescent="0.25">
      <c r="A48" s="8" t="s">
        <v>81</v>
      </c>
      <c r="B48" s="4" t="s">
        <v>127</v>
      </c>
      <c r="C48" s="22">
        <f>Capacity_ExD!C31</f>
        <v>85.6874606874607</v>
      </c>
      <c r="D48" s="22">
        <f>Capacity_ExD!D31</f>
        <v>95.033824200490884</v>
      </c>
      <c r="E48" s="22">
        <f>Capacity_ExD!E31</f>
        <v>75.200840825840842</v>
      </c>
      <c r="F48" s="22">
        <f>Capacity_ExD!F31</f>
        <v>81.266630745797414</v>
      </c>
      <c r="G48" s="22">
        <f>Capacity_ExD!G31</f>
        <v>86.36039886039886</v>
      </c>
      <c r="H48" s="22">
        <f>Capacity_ExD!H31</f>
        <v>95.575913284246624</v>
      </c>
      <c r="I48" s="22">
        <f>Capacity_ExD!I31</f>
        <v>106.73547131880467</v>
      </c>
      <c r="J48" s="22">
        <f>Capacity_ExD!J31</f>
        <v>111.82923943340612</v>
      </c>
      <c r="K48" s="22">
        <f>Capacity_ExD!K31</f>
        <v>130.02660919327587</v>
      </c>
      <c r="L48" s="22">
        <f>Capacity_ExD!L31</f>
        <v>135.00354776396443</v>
      </c>
      <c r="M48" s="22">
        <f>Capacity_ExD!M31</f>
        <v>147.8968562301896</v>
      </c>
      <c r="N48" s="22">
        <f>Capacity_ExD!N31</f>
        <v>139.98048633465302</v>
      </c>
      <c r="O48" s="65">
        <f>AVERAGE(C48:N48)</f>
        <v>107.54977323987742</v>
      </c>
    </row>
    <row r="49" spans="1:16" x14ac:dyDescent="0.25">
      <c r="A49" s="8" t="s">
        <v>539</v>
      </c>
      <c r="B49" s="4" t="s">
        <v>127</v>
      </c>
      <c r="C49" s="22">
        <f>Capacity_ExD!C36</f>
        <v>85.6874606874607</v>
      </c>
      <c r="D49" s="22">
        <f>Capacity_ExD!D36</f>
        <v>95.033824200490884</v>
      </c>
      <c r="E49" s="22">
        <f>Capacity_ExD!E36</f>
        <v>91.232471232471255</v>
      </c>
      <c r="F49" s="22">
        <f>Capacity_ExD!F36</f>
        <v>87.58317238317241</v>
      </c>
      <c r="G49" s="22">
        <f>Capacity_ExD!G36</f>
        <v>86.36039886039886</v>
      </c>
      <c r="H49" s="22">
        <f>Capacity_ExD!H36</f>
        <v>95.575913284246624</v>
      </c>
      <c r="I49" s="22">
        <f>Capacity_ExD!I36</f>
        <v>106.73547131880467</v>
      </c>
      <c r="J49" s="22">
        <f>Capacity_ExD!J36</f>
        <v>111.82923943340612</v>
      </c>
      <c r="K49" s="22">
        <f>Capacity_ExD!K36</f>
        <v>130.02660919327587</v>
      </c>
      <c r="L49" s="22">
        <f>Capacity_ExD!L36</f>
        <v>135.00354776396443</v>
      </c>
      <c r="M49" s="22">
        <f>Capacity_ExD!M36</f>
        <v>147.8968562301896</v>
      </c>
      <c r="N49" s="22">
        <f>Capacity_ExD!N36</f>
        <v>141.98098198098202</v>
      </c>
      <c r="O49" s="65">
        <f>AVERAGE(C49:N49)</f>
        <v>109.57882888073863</v>
      </c>
    </row>
    <row r="50" spans="1:16" x14ac:dyDescent="0.25">
      <c r="A50" s="8" t="s">
        <v>540</v>
      </c>
      <c r="B50" s="4" t="s">
        <v>127</v>
      </c>
      <c r="C50" s="22">
        <f>Capacity_ExD!C52</f>
        <v>107.6874606874607</v>
      </c>
      <c r="D50" s="22">
        <f>Capacity_ExD!D52</f>
        <v>119.03382420049088</v>
      </c>
      <c r="E50" s="22">
        <f>Capacity_ExD!E52</f>
        <v>115.23247123247126</v>
      </c>
      <c r="F50" s="22">
        <f>Capacity_ExD!F52</f>
        <v>111.58317238317241</v>
      </c>
      <c r="G50" s="22">
        <f>Capacity_ExD!G52</f>
        <v>110.36039886039886</v>
      </c>
      <c r="H50" s="22">
        <f>Capacity_ExD!H52</f>
        <v>119.57591328424662</v>
      </c>
      <c r="I50" s="22">
        <f>Capacity_ExD!I52</f>
        <v>131.73547131880468</v>
      </c>
      <c r="J50" s="22">
        <f>Capacity_ExD!J52</f>
        <v>136.82923943340612</v>
      </c>
      <c r="K50" s="22">
        <f>Capacity_ExD!K52</f>
        <v>158.02660919327587</v>
      </c>
      <c r="L50" s="22">
        <f>Capacity_ExD!L52</f>
        <v>164.00354776396443</v>
      </c>
      <c r="M50" s="22">
        <f>Capacity_ExD!M52</f>
        <v>176.8968562301896</v>
      </c>
      <c r="N50" s="22">
        <f>Capacity_ExD!N52</f>
        <v>170.98098198098202</v>
      </c>
      <c r="O50" s="65">
        <f>AVERAGE(C50:N50)</f>
        <v>135.16216221407197</v>
      </c>
    </row>
    <row r="51" spans="1:16" x14ac:dyDescent="0.25">
      <c r="A51" s="8" t="s">
        <v>541</v>
      </c>
      <c r="B51" s="4" t="s">
        <v>323</v>
      </c>
      <c r="C51" s="56">
        <f t="shared" ref="C51:O51" si="14">-(C18+C34)*1000000/(C46+C47)</f>
        <v>19747.557469148556</v>
      </c>
      <c r="D51" s="56">
        <f t="shared" si="14"/>
        <v>20181.017457309979</v>
      </c>
      <c r="E51" s="56">
        <f t="shared" si="14"/>
        <v>23633.568209714784</v>
      </c>
      <c r="F51" s="56">
        <f t="shared" si="14"/>
        <v>25761.461278122464</v>
      </c>
      <c r="G51" s="56">
        <f t="shared" si="14"/>
        <v>24397.154190446396</v>
      </c>
      <c r="H51" s="56">
        <f t="shared" si="14"/>
        <v>24578.987379261325</v>
      </c>
      <c r="I51" s="56">
        <f t="shared" si="14"/>
        <v>23915.693842857658</v>
      </c>
      <c r="J51" s="56">
        <f t="shared" si="14"/>
        <v>23172.465972386995</v>
      </c>
      <c r="K51" s="56">
        <f t="shared" si="14"/>
        <v>22975.459792486407</v>
      </c>
      <c r="L51" s="56">
        <f t="shared" si="14"/>
        <v>21894.67842072744</v>
      </c>
      <c r="M51" s="56">
        <f t="shared" si="14"/>
        <v>21455.479577264621</v>
      </c>
      <c r="N51" s="56">
        <f t="shared" si="14"/>
        <v>21072.381938915707</v>
      </c>
      <c r="O51" s="42">
        <f t="shared" si="14"/>
        <v>22573.215847581632</v>
      </c>
    </row>
    <row r="52" spans="1:16" x14ac:dyDescent="0.25">
      <c r="A52" s="8" t="s">
        <v>542</v>
      </c>
      <c r="B52" s="4" t="s">
        <v>323</v>
      </c>
      <c r="C52" s="56">
        <f t="shared" ref="C52:O52" si="15">C9*1000000/(C46+C47)</f>
        <v>25946.963873943121</v>
      </c>
      <c r="D52" s="56">
        <f t="shared" si="15"/>
        <v>25718.054204308548</v>
      </c>
      <c r="E52" s="56">
        <f t="shared" si="15"/>
        <v>26058.098591549297</v>
      </c>
      <c r="F52" s="56">
        <f t="shared" si="15"/>
        <v>25927.125506072876</v>
      </c>
      <c r="G52" s="56">
        <f t="shared" si="15"/>
        <v>25983.957219251337</v>
      </c>
      <c r="H52" s="56">
        <f t="shared" si="15"/>
        <v>26238.826815642456</v>
      </c>
      <c r="I52" s="56">
        <f t="shared" si="15"/>
        <v>26158.878504672899</v>
      </c>
      <c r="J52" s="56">
        <f t="shared" si="15"/>
        <v>26192.972007147113</v>
      </c>
      <c r="K52" s="56">
        <f t="shared" si="15"/>
        <v>27192.307692307691</v>
      </c>
      <c r="L52" s="56">
        <f t="shared" si="15"/>
        <v>25676.222596964588</v>
      </c>
      <c r="M52" s="56">
        <f t="shared" si="15"/>
        <v>25195.958188153309</v>
      </c>
      <c r="N52" s="56">
        <f t="shared" si="15"/>
        <v>25448.275862068964</v>
      </c>
      <c r="O52" s="42">
        <f t="shared" si="15"/>
        <v>25951.125467355087</v>
      </c>
    </row>
    <row r="53" spans="1:16" x14ac:dyDescent="0.25">
      <c r="A53" s="8" t="s">
        <v>543</v>
      </c>
      <c r="B53" s="4" t="s">
        <v>326</v>
      </c>
      <c r="C53" s="64">
        <f t="shared" ref="C53:N53" si="16">C9/C49</f>
        <v>157.58198331084361</v>
      </c>
      <c r="D53" s="64">
        <f t="shared" si="16"/>
        <v>155.76887623473681</v>
      </c>
      <c r="E53" s="64">
        <f t="shared" si="16"/>
        <v>129.78712337878281</v>
      </c>
      <c r="F53" s="64">
        <f t="shared" si="16"/>
        <v>146.23813743541487</v>
      </c>
      <c r="G53" s="64">
        <f t="shared" si="16"/>
        <v>157.53980041237114</v>
      </c>
      <c r="H53" s="64">
        <f t="shared" si="16"/>
        <v>157.25300950356984</v>
      </c>
      <c r="I53" s="64">
        <f t="shared" si="16"/>
        <v>157.34225738169604</v>
      </c>
      <c r="J53" s="64">
        <f t="shared" si="16"/>
        <v>157.30411911167019</v>
      </c>
      <c r="K53" s="64">
        <f t="shared" si="16"/>
        <v>165.29539709869991</v>
      </c>
      <c r="L53" s="64">
        <f t="shared" si="16"/>
        <v>157.89510981792023</v>
      </c>
      <c r="M53" s="64">
        <f t="shared" si="16"/>
        <v>156.46017494776561</v>
      </c>
      <c r="N53" s="64">
        <f t="shared" si="16"/>
        <v>155.93637747177712</v>
      </c>
      <c r="O53" s="65">
        <f>O9/12/O49</f>
        <v>155.18818893846691</v>
      </c>
      <c r="P53" s="45" t="s">
        <v>544</v>
      </c>
    </row>
    <row r="54" spans="1:16" x14ac:dyDescent="0.25">
      <c r="A54" s="8" t="s">
        <v>545</v>
      </c>
      <c r="B54" s="4" t="s">
        <v>100</v>
      </c>
      <c r="C54" s="55">
        <f>Costs!C60/C9</f>
        <v>0.58476122018942778</v>
      </c>
      <c r="D54" s="55">
        <f>Costs!D60/D9</f>
        <v>0.61294342320709938</v>
      </c>
      <c r="E54" s="55">
        <f>Costs!E60/E9</f>
        <v>0.7106610824590186</v>
      </c>
      <c r="F54" s="55">
        <f>Costs!F60/F9</f>
        <v>0.80064487840023657</v>
      </c>
      <c r="G54" s="55">
        <f>Costs!G60/G9</f>
        <v>0.75414190974289308</v>
      </c>
      <c r="H54" s="55">
        <f>Costs!H60/H9</f>
        <v>0.75718930645271831</v>
      </c>
      <c r="I54" s="55">
        <f>Costs!I60/I9</f>
        <v>0.74420300539189743</v>
      </c>
      <c r="J54" s="55">
        <f>Costs!J60/J9</f>
        <v>0.72105299628569419</v>
      </c>
      <c r="K54" s="55">
        <f>Costs!K60/K9</f>
        <v>0.69452800921944091</v>
      </c>
      <c r="L54" s="55">
        <f>Costs!L60/L9</f>
        <v>0.70346590066159709</v>
      </c>
      <c r="M54" s="55">
        <f>Costs!M60/M9</f>
        <v>0.7052209298575306</v>
      </c>
      <c r="N54" s="55">
        <f>Costs!N60/N9</f>
        <v>0.68435631591613433</v>
      </c>
      <c r="O54" s="46">
        <f>Costs!O60/O9</f>
        <v>0.70494988261004543</v>
      </c>
    </row>
    <row r="55" spans="1:16" x14ac:dyDescent="0.25">
      <c r="A55" s="8" t="s">
        <v>546</v>
      </c>
      <c r="B55" s="4" t="s">
        <v>100</v>
      </c>
      <c r="C55" s="55">
        <f t="shared" ref="C55:O55" si="17">-C12/C9</f>
        <v>0</v>
      </c>
      <c r="D55" s="55">
        <f t="shared" si="17"/>
        <v>0</v>
      </c>
      <c r="E55" s="55">
        <f t="shared" si="17"/>
        <v>8.2589812749514838E-2</v>
      </c>
      <c r="F55" s="55">
        <f t="shared" si="17"/>
        <v>3.7604333217508078E-2</v>
      </c>
      <c r="G55" s="55">
        <f t="shared" si="17"/>
        <v>0</v>
      </c>
      <c r="H55" s="55">
        <f t="shared" si="17"/>
        <v>0</v>
      </c>
      <c r="I55" s="55">
        <f t="shared" si="17"/>
        <v>0</v>
      </c>
      <c r="J55" s="55">
        <f t="shared" si="17"/>
        <v>0</v>
      </c>
      <c r="K55" s="55">
        <f t="shared" si="17"/>
        <v>0</v>
      </c>
      <c r="L55" s="55">
        <f t="shared" si="17"/>
        <v>0</v>
      </c>
      <c r="M55" s="55">
        <f t="shared" si="17"/>
        <v>0</v>
      </c>
      <c r="N55" s="55">
        <f t="shared" si="17"/>
        <v>6.8896925488973011E-3</v>
      </c>
      <c r="O55" s="46">
        <f t="shared" si="17"/>
        <v>7.899986845734364E-3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A1:P68"/>
  <sheetViews>
    <sheetView showGridLines="0" zoomScaleNormal="100" workbookViewId="0">
      <pane xSplit="2" ySplit="4" topLeftCell="C41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52" customWidth="1"/>
    <col min="2" max="2" width="14" customWidth="1"/>
    <col min="3" max="14" width="11" customWidth="1"/>
    <col min="15" max="15" width="13" customWidth="1"/>
    <col min="16" max="16" width="60" customWidth="1"/>
  </cols>
  <sheetData>
    <row r="1" spans="1:16" ht="18" x14ac:dyDescent="0.25">
      <c r="A1" s="13" t="s">
        <v>547</v>
      </c>
    </row>
    <row r="2" spans="1:16" x14ac:dyDescent="0.25">
      <c r="A2" s="4" t="s">
        <v>548</v>
      </c>
    </row>
    <row r="4" spans="1:16" x14ac:dyDescent="0.25">
      <c r="A4" s="38" t="s">
        <v>296</v>
      </c>
      <c r="B4" s="38" t="s">
        <v>86</v>
      </c>
      <c r="C4" s="39" t="s">
        <v>68</v>
      </c>
      <c r="D4" s="39" t="s">
        <v>69</v>
      </c>
      <c r="E4" s="39" t="s">
        <v>70</v>
      </c>
      <c r="F4" s="39" t="s">
        <v>71</v>
      </c>
      <c r="G4" s="39" t="s">
        <v>72</v>
      </c>
      <c r="H4" s="39" t="s">
        <v>73</v>
      </c>
      <c r="I4" s="39" t="s">
        <v>74</v>
      </c>
      <c r="J4" s="39" t="s">
        <v>75</v>
      </c>
      <c r="K4" s="39" t="s">
        <v>76</v>
      </c>
      <c r="L4" s="39" t="s">
        <v>77</v>
      </c>
      <c r="M4" s="39" t="s">
        <v>78</v>
      </c>
      <c r="N4" s="39" t="s">
        <v>79</v>
      </c>
      <c r="O4" s="39" t="s">
        <v>297</v>
      </c>
      <c r="P4" s="39" t="s">
        <v>298</v>
      </c>
    </row>
    <row r="5" spans="1:16" x14ac:dyDescent="0.25">
      <c r="A5" s="40" t="s">
        <v>549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x14ac:dyDescent="0.25">
      <c r="A6" s="8" t="s">
        <v>550</v>
      </c>
      <c r="B6" s="4" t="s">
        <v>100</v>
      </c>
      <c r="C6" s="55">
        <f>Capacity_ExD!C29/Capacity_ExD!C31</f>
        <v>0.76178010471204194</v>
      </c>
      <c r="D6" s="55">
        <f>Capacity_ExD!D29/Capacity_ExD!D31</f>
        <v>0.76475216365066878</v>
      </c>
      <c r="E6" s="55">
        <f>Capacity_ExD!E29/Capacity_ExD!E31</f>
        <v>0.76733780760626391</v>
      </c>
      <c r="F6" s="55">
        <f>Capacity_ExD!F29/Capacity_ExD!F31</f>
        <v>0.76078205865439918</v>
      </c>
      <c r="G6" s="55">
        <f>Capacity_ExD!G29/Capacity_ExD!G31</f>
        <v>0.76363636363636367</v>
      </c>
      <c r="H6" s="55">
        <f>Capacity_ExD!H29/Capacity_ExD!H31</f>
        <v>0.77625660082143555</v>
      </c>
      <c r="I6" s="55">
        <f>Capacity_ExD!I29/Capacity_ExD!I31</f>
        <v>0.77232924693520144</v>
      </c>
      <c r="J6" s="55">
        <f>Capacity_ExD!J29/Capacity_ExD!J31</f>
        <v>0.7740075219389887</v>
      </c>
      <c r="K6" s="55">
        <f>Capacity_ExD!K29/Capacity_ExD!K31</f>
        <v>0.76078205865439907</v>
      </c>
      <c r="L6" s="55">
        <f>Capacity_ExD!L29/Capacity_ExD!L31</f>
        <v>0.74800096922704151</v>
      </c>
      <c r="M6" s="55">
        <f>Capacity_ExD!M29/Capacity_ExD!M31</f>
        <v>0.73710819009100093</v>
      </c>
      <c r="N6" s="55">
        <f>Capacity_ExD!N29/Capacity_ExD!N31</f>
        <v>0.73612873072043805</v>
      </c>
      <c r="O6" s="46">
        <f>AVERAGE(C6:N6)</f>
        <v>0.76024181805402025</v>
      </c>
    </row>
    <row r="7" spans="1:16" x14ac:dyDescent="0.25">
      <c r="A7" s="8" t="s">
        <v>551</v>
      </c>
      <c r="B7" s="4" t="s">
        <v>100</v>
      </c>
      <c r="C7" s="55">
        <f t="shared" ref="C7:N7" si="0">1-C6</f>
        <v>0.23821989528795806</v>
      </c>
      <c r="D7" s="55">
        <f t="shared" si="0"/>
        <v>0.23524783634933122</v>
      </c>
      <c r="E7" s="55">
        <f t="shared" si="0"/>
        <v>0.23266219239373609</v>
      </c>
      <c r="F7" s="55">
        <f t="shared" si="0"/>
        <v>0.23921794134560082</v>
      </c>
      <c r="G7" s="55">
        <f t="shared" si="0"/>
        <v>0.23636363636363633</v>
      </c>
      <c r="H7" s="55">
        <f t="shared" si="0"/>
        <v>0.22374339917856445</v>
      </c>
      <c r="I7" s="55">
        <f t="shared" si="0"/>
        <v>0.22767075306479856</v>
      </c>
      <c r="J7" s="55">
        <f t="shared" si="0"/>
        <v>0.2259924780610113</v>
      </c>
      <c r="K7" s="55">
        <f t="shared" si="0"/>
        <v>0.23921794134560093</v>
      </c>
      <c r="L7" s="55">
        <f t="shared" si="0"/>
        <v>0.25199903077295849</v>
      </c>
      <c r="M7" s="55">
        <f t="shared" si="0"/>
        <v>0.26289180990899907</v>
      </c>
      <c r="N7" s="55">
        <f t="shared" si="0"/>
        <v>0.26387126927956195</v>
      </c>
      <c r="O7" s="46">
        <f>AVERAGE(C7:N7)</f>
        <v>0.23975818194597984</v>
      </c>
    </row>
    <row r="8" spans="1:16" x14ac:dyDescent="0.25">
      <c r="A8" s="8" t="s">
        <v>552</v>
      </c>
      <c r="B8" s="4" t="s">
        <v>100</v>
      </c>
      <c r="C8" s="55">
        <f>Capacity_ExD!C8/Capacity_ExD!C12</f>
        <v>0.73484848484848486</v>
      </c>
      <c r="D8" s="55">
        <f>Capacity_ExD!D8/Capacity_ExD!D12</f>
        <v>0.73804100227790437</v>
      </c>
      <c r="E8" s="55">
        <f>Capacity_ExD!E8/Capacity_ExD!E12</f>
        <v>0.74082073434125273</v>
      </c>
      <c r="F8" s="55">
        <f>Capacity_ExD!F8/Capacity_ExD!F12</f>
        <v>0.73377703826955076</v>
      </c>
      <c r="G8" s="55">
        <f>Capacity_ExD!G8/Capacity_ExD!G12</f>
        <v>0.73684210526315796</v>
      </c>
      <c r="H8" s="55">
        <f>Capacity_ExD!H8/Capacity_ExD!H12</f>
        <v>0.75042541123085649</v>
      </c>
      <c r="I8" s="55">
        <f>Capacity_ExD!I8/Capacity_ExD!I12</f>
        <v>0.74619289340101524</v>
      </c>
      <c r="J8" s="55">
        <f>Capacity_ExD!J8/Capacity_ExD!J12</f>
        <v>0.7480009692270414</v>
      </c>
      <c r="K8" s="55">
        <f>Capacity_ExD!K8/Capacity_ExD!K12</f>
        <v>0.73377703826955076</v>
      </c>
      <c r="L8" s="55">
        <f>Capacity_ExD!L8/Capacity_ExD!L12</f>
        <v>0.7200839748075577</v>
      </c>
      <c r="M8" s="55">
        <f>Capacity_ExD!M8/Capacity_ExD!M12</f>
        <v>0.70845481049562675</v>
      </c>
      <c r="N8" s="55">
        <f>Capacity_ExD!N8/Capacity_ExD!N12</f>
        <v>0.70741097208854664</v>
      </c>
      <c r="O8" s="46">
        <f>AVERAGE(C8:N8)</f>
        <v>0.73322295287671224</v>
      </c>
    </row>
    <row r="9" spans="1:16" x14ac:dyDescent="0.25">
      <c r="A9" s="8" t="s">
        <v>553</v>
      </c>
      <c r="B9" s="4" t="s">
        <v>100</v>
      </c>
      <c r="C9" s="55">
        <f t="shared" ref="C9:N9" si="1">1-C8</f>
        <v>0.26515151515151514</v>
      </c>
      <c r="D9" s="55">
        <f t="shared" si="1"/>
        <v>0.26195899772209563</v>
      </c>
      <c r="E9" s="55">
        <f t="shared" si="1"/>
        <v>0.25917926565874727</v>
      </c>
      <c r="F9" s="55">
        <f t="shared" si="1"/>
        <v>0.26622296173044924</v>
      </c>
      <c r="G9" s="55">
        <f t="shared" si="1"/>
        <v>0.26315789473684204</v>
      </c>
      <c r="H9" s="55">
        <f t="shared" si="1"/>
        <v>0.24957458876914351</v>
      </c>
      <c r="I9" s="55">
        <f t="shared" si="1"/>
        <v>0.25380710659898476</v>
      </c>
      <c r="J9" s="55">
        <f t="shared" si="1"/>
        <v>0.2519990307729586</v>
      </c>
      <c r="K9" s="55">
        <f t="shared" si="1"/>
        <v>0.26622296173044924</v>
      </c>
      <c r="L9" s="55">
        <f t="shared" si="1"/>
        <v>0.2799160251924423</v>
      </c>
      <c r="M9" s="55">
        <f t="shared" si="1"/>
        <v>0.29154518950437325</v>
      </c>
      <c r="N9" s="55">
        <f t="shared" si="1"/>
        <v>0.29258902791145336</v>
      </c>
      <c r="O9" s="46">
        <f>AVERAGE(C9:N9)</f>
        <v>0.26677704712328792</v>
      </c>
    </row>
    <row r="10" spans="1:16" x14ac:dyDescent="0.25">
      <c r="A10" s="40" t="s">
        <v>554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x14ac:dyDescent="0.25">
      <c r="A11" s="8" t="s">
        <v>50</v>
      </c>
      <c r="B11" s="4" t="s">
        <v>326</v>
      </c>
      <c r="C11" s="20">
        <f>Topline_ExC!C27</f>
        <v>9932.7999999999993</v>
      </c>
      <c r="D11" s="20">
        <f>Topline_ExC!D27</f>
        <v>11059.2</v>
      </c>
      <c r="E11" s="20">
        <f>Topline_ExC!E27</f>
        <v>8780.7999999999993</v>
      </c>
      <c r="F11" s="20">
        <f>Topline_ExC!F27</f>
        <v>9408</v>
      </c>
      <c r="G11" s="20">
        <f>Topline_ExC!G27</f>
        <v>10035.200000000001</v>
      </c>
      <c r="H11" s="20">
        <f>Topline_ExC!H27</f>
        <v>11289.6</v>
      </c>
      <c r="I11" s="20">
        <f>Topline_ExC!I27</f>
        <v>12544</v>
      </c>
      <c r="J11" s="20">
        <f>Topline_ExC!J27</f>
        <v>13171.2</v>
      </c>
      <c r="K11" s="20">
        <f>Topline_ExC!K27</f>
        <v>15052.8</v>
      </c>
      <c r="L11" s="20">
        <f>Topline_ExC!L27</f>
        <v>15366.4</v>
      </c>
      <c r="M11" s="20">
        <f>Topline_ExC!M27</f>
        <v>16588.8</v>
      </c>
      <c r="N11" s="20">
        <f>Topline_ExC!N27</f>
        <v>15680</v>
      </c>
      <c r="O11" s="42">
        <f t="shared" ref="O11:O20" si="2">SUM(C11:N11)</f>
        <v>148908.79999999999</v>
      </c>
    </row>
    <row r="12" spans="1:16" x14ac:dyDescent="0.25">
      <c r="A12" s="8" t="s">
        <v>555</v>
      </c>
      <c r="B12" s="4" t="s">
        <v>326</v>
      </c>
      <c r="C12" s="56">
        <f>-(Costs!C22+Costs!C23)*C6</f>
        <v>-3981.7751692751699</v>
      </c>
      <c r="D12" s="56">
        <f>-(Costs!D22+Costs!D23)*D6</f>
        <v>-4433.3166833166842</v>
      </c>
      <c r="E12" s="56">
        <f>-(Costs!E22+Costs!E23)*E6</f>
        <v>-4270.3735919395886</v>
      </c>
      <c r="F12" s="56">
        <f>-(Costs!F22+Costs!F23)*F6</f>
        <v>-5080.6675969229182</v>
      </c>
      <c r="G12" s="56">
        <f>-(Costs!G22+Costs!G23)*G6</f>
        <v>-5028.5304972804979</v>
      </c>
      <c r="H12" s="56">
        <f>-(Costs!H22+Costs!H23)*H6</f>
        <v>-5657.0968094405598</v>
      </c>
      <c r="I12" s="56">
        <f>-(Costs!I22+Costs!I23)*I6</f>
        <v>-6285.6631216006226</v>
      </c>
      <c r="J12" s="56">
        <f>-(Costs!J22+Costs!J23)*J6</f>
        <v>-6599.9462776806531</v>
      </c>
      <c r="K12" s="56">
        <f>-(Costs!K22+Costs!K23)*K6</f>
        <v>-7542.7957459207464</v>
      </c>
      <c r="L12" s="56">
        <f>-(Costs!L22+Costs!L23)*L6</f>
        <v>-7699.9373239607621</v>
      </c>
      <c r="M12" s="56">
        <f>-(Costs!M22+Costs!M23)*M6</f>
        <v>-8312.4687812187822</v>
      </c>
      <c r="N12" s="56">
        <f>-(Costs!N22+Costs!N23)*N6</f>
        <v>-7969.3663539727531</v>
      </c>
      <c r="O12" s="42">
        <f t="shared" si="2"/>
        <v>-72861.937952529741</v>
      </c>
    </row>
    <row r="13" spans="1:16" x14ac:dyDescent="0.25">
      <c r="A13" s="8" t="s">
        <v>556</v>
      </c>
      <c r="B13" s="4" t="s">
        <v>326</v>
      </c>
      <c r="C13" s="56">
        <f>-Costs!C24*C8</f>
        <v>-118.34</v>
      </c>
      <c r="D13" s="56">
        <f>-Costs!D24*D8</f>
        <v>-131.76</v>
      </c>
      <c r="E13" s="56">
        <f>-Costs!E24*E8</f>
        <v>-104.61500000000001</v>
      </c>
      <c r="F13" s="56">
        <f>-Costs!F24*F8</f>
        <v>-140.109375</v>
      </c>
      <c r="G13" s="56">
        <f>-Costs!G24*G8</f>
        <v>-149.45000000000002</v>
      </c>
      <c r="H13" s="56">
        <f>-Costs!H24*H8</f>
        <v>-168.13124999999999</v>
      </c>
      <c r="I13" s="56">
        <f>-Costs!I24*I8</f>
        <v>-186.81250000000003</v>
      </c>
      <c r="J13" s="56">
        <f>-Costs!J24*J8</f>
        <v>-196.15312499999996</v>
      </c>
      <c r="K13" s="56">
        <f>-Costs!K24*K8</f>
        <v>-224.17499999999995</v>
      </c>
      <c r="L13" s="56">
        <f>-Costs!L24*L8</f>
        <v>-228.84531249999995</v>
      </c>
      <c r="M13" s="56">
        <f>-Costs!M24*M8</f>
        <v>-247.04999999999995</v>
      </c>
      <c r="N13" s="56">
        <f>-Costs!N24*N8</f>
        <v>-233.51562499999997</v>
      </c>
      <c r="O13" s="42">
        <f t="shared" si="2"/>
        <v>-2128.9571874999997</v>
      </c>
    </row>
    <row r="14" spans="1:16" x14ac:dyDescent="0.25">
      <c r="A14" s="8" t="s">
        <v>557</v>
      </c>
      <c r="B14" s="4" t="s">
        <v>326</v>
      </c>
      <c r="C14" s="56">
        <f>-(Costs!C42+Costs!C43)</f>
        <v>-174.16</v>
      </c>
      <c r="D14" s="56">
        <f>-(Costs!D42+Costs!D43)</f>
        <v>-188.24</v>
      </c>
      <c r="E14" s="56">
        <f>-(Costs!E42+Costs!E43)</f>
        <v>-159.76</v>
      </c>
      <c r="F14" s="56">
        <f>-(Costs!F42+Costs!F43)</f>
        <v>-192.74</v>
      </c>
      <c r="G14" s="56">
        <f>-(Costs!G42+Costs!G43)</f>
        <v>-201.756</v>
      </c>
      <c r="H14" s="56">
        <f>-(Costs!H42+Costs!H43)</f>
        <v>-219.78800000000001</v>
      </c>
      <c r="I14" s="56">
        <f>-(Costs!I42+Costs!I43)</f>
        <v>-237.82</v>
      </c>
      <c r="J14" s="56">
        <f>-(Costs!J42+Costs!J43)</f>
        <v>-246.83600000000001</v>
      </c>
      <c r="K14" s="56">
        <f>-(Costs!K42+Costs!K43)</f>
        <v>-273.88399999999996</v>
      </c>
      <c r="L14" s="56">
        <f>-(Costs!L42+Costs!L43)</f>
        <v>-278.39199999999994</v>
      </c>
      <c r="M14" s="56">
        <f>-(Costs!M42+Costs!M43)</f>
        <v>-295.96399999999994</v>
      </c>
      <c r="N14" s="56">
        <f>-(Costs!N42+Costs!N43)</f>
        <v>-282.89999999999998</v>
      </c>
      <c r="O14" s="42">
        <f t="shared" si="2"/>
        <v>-2752.24</v>
      </c>
    </row>
    <row r="15" spans="1:16" x14ac:dyDescent="0.25">
      <c r="A15" s="57" t="s">
        <v>558</v>
      </c>
      <c r="B15" s="52" t="s">
        <v>326</v>
      </c>
      <c r="C15" s="58">
        <f t="shared" ref="C15:N15" si="3">SUM(C11:C14)</f>
        <v>5658.5248307248294</v>
      </c>
      <c r="D15" s="58">
        <f t="shared" si="3"/>
        <v>6305.8833166833165</v>
      </c>
      <c r="E15" s="58">
        <f t="shared" si="3"/>
        <v>4246.0514080604107</v>
      </c>
      <c r="F15" s="58">
        <f t="shared" si="3"/>
        <v>3994.4830280770821</v>
      </c>
      <c r="G15" s="58">
        <f t="shared" si="3"/>
        <v>4655.4635027195027</v>
      </c>
      <c r="H15" s="58">
        <f t="shared" si="3"/>
        <v>5244.5839405594397</v>
      </c>
      <c r="I15" s="58">
        <f t="shared" si="3"/>
        <v>5833.7043783993777</v>
      </c>
      <c r="J15" s="58">
        <f t="shared" si="3"/>
        <v>6128.2645973193476</v>
      </c>
      <c r="K15" s="58">
        <f t="shared" si="3"/>
        <v>7011.9452540792527</v>
      </c>
      <c r="L15" s="58">
        <f t="shared" si="3"/>
        <v>7159.2253635392381</v>
      </c>
      <c r="M15" s="58">
        <f t="shared" si="3"/>
        <v>7733.317218781217</v>
      </c>
      <c r="N15" s="58">
        <f t="shared" si="3"/>
        <v>7194.2180210272472</v>
      </c>
      <c r="O15" s="54">
        <f t="shared" si="2"/>
        <v>71165.664859970275</v>
      </c>
    </row>
    <row r="16" spans="1:16" x14ac:dyDescent="0.25">
      <c r="A16" s="8" t="s">
        <v>559</v>
      </c>
      <c r="B16" s="4" t="s">
        <v>326</v>
      </c>
      <c r="C16" s="56">
        <f>-(Costs!C25+Costs!C26+Costs!C36-Costs!C34-Costs!C35+Costs!C40+Costs!C45)*C6</f>
        <v>-1541.0219952822049</v>
      </c>
      <c r="D16" s="56">
        <f>-(Costs!D25+Costs!D26+Costs!D36-Costs!D34-Costs!D35+Costs!D40+Costs!D45)*D6</f>
        <v>-2059.0420666666146</v>
      </c>
      <c r="E16" s="56">
        <f>-(Costs!E25+Costs!E26+Costs!E36-Costs!E34-Costs!E35+Costs!E40+Costs!E45)*E6</f>
        <v>-1700.9432753508811</v>
      </c>
      <c r="F16" s="56">
        <f>-(Costs!F25+Costs!F26+Costs!F36-Costs!F34-Costs!F35+Costs!F40+Costs!F45)*F6</f>
        <v>-2082.6801575939876</v>
      </c>
      <c r="G16" s="56">
        <f>-(Costs!G25+Costs!G26+Costs!G36-Costs!G34-Costs!G35+Costs!G40+Costs!G45)*G6</f>
        <v>-2166.221065773821</v>
      </c>
      <c r="H16" s="56">
        <f>-(Costs!H25+Costs!H26+Costs!H36-Costs!H34-Costs!H35+Costs!H40+Costs!H45)*H6</f>
        <v>-2585.7063638859672</v>
      </c>
      <c r="I16" s="56">
        <f>-(Costs!I25+Costs!I26+Costs!I36-Costs!I34-Costs!I35+Costs!I40+Costs!I45)*I6</f>
        <v>-2795.6046549286484</v>
      </c>
      <c r="J16" s="56">
        <f>-(Costs!J25+Costs!J26+Costs!J36-Costs!J34-Costs!J35+Costs!J40+Costs!J45)*J6</f>
        <v>-2617.1799289972109</v>
      </c>
      <c r="K16" s="56">
        <f>-(Costs!K25+Costs!K26+Costs!K36-Costs!K34-Costs!K35+Costs!K40+Costs!K45)*K6</f>
        <v>-3300.13375441168</v>
      </c>
      <c r="L16" s="56">
        <f>-(Costs!L25+Costs!L26+Costs!L36-Costs!L34-Costs!L35+Costs!L40+Costs!L45)*L6</f>
        <v>-2948.7318578667278</v>
      </c>
      <c r="M16" s="56">
        <f>-(Costs!M25+Costs!M26+Costs!M36-Costs!M34-Costs!M35+Costs!M40+Costs!M45)*M6</f>
        <v>-3202.4520842213906</v>
      </c>
      <c r="N16" s="56">
        <f>-(Costs!N25+Costs!N26+Costs!N36-Costs!N34-Costs!N35+Costs!N40+Costs!N45)*N6</f>
        <v>-2579.3548232775884</v>
      </c>
      <c r="O16" s="42">
        <f t="shared" si="2"/>
        <v>-29579.07202825672</v>
      </c>
    </row>
    <row r="17" spans="1:16" x14ac:dyDescent="0.25">
      <c r="A17" s="57" t="s">
        <v>560</v>
      </c>
      <c r="B17" s="52" t="s">
        <v>326</v>
      </c>
      <c r="C17" s="58">
        <f t="shared" ref="C17:N17" si="4">C15+C16</f>
        <v>4117.5028354426249</v>
      </c>
      <c r="D17" s="58">
        <f t="shared" si="4"/>
        <v>4246.8412500167015</v>
      </c>
      <c r="E17" s="58">
        <f t="shared" si="4"/>
        <v>2545.1081327095299</v>
      </c>
      <c r="F17" s="58">
        <f t="shared" si="4"/>
        <v>1911.8028704830945</v>
      </c>
      <c r="G17" s="58">
        <f t="shared" si="4"/>
        <v>2489.2424369456817</v>
      </c>
      <c r="H17" s="58">
        <f t="shared" si="4"/>
        <v>2658.8775766734725</v>
      </c>
      <c r="I17" s="58">
        <f t="shared" si="4"/>
        <v>3038.0997234707293</v>
      </c>
      <c r="J17" s="58">
        <f t="shared" si="4"/>
        <v>3511.0846683221366</v>
      </c>
      <c r="K17" s="58">
        <f t="shared" si="4"/>
        <v>3711.8114996675727</v>
      </c>
      <c r="L17" s="58">
        <f t="shared" si="4"/>
        <v>4210.4935056725099</v>
      </c>
      <c r="M17" s="58">
        <f t="shared" si="4"/>
        <v>4530.8651345598264</v>
      </c>
      <c r="N17" s="58">
        <f t="shared" si="4"/>
        <v>4614.8631977496589</v>
      </c>
      <c r="O17" s="54">
        <f t="shared" si="2"/>
        <v>41586.59283171354</v>
      </c>
    </row>
    <row r="18" spans="1:16" x14ac:dyDescent="0.25">
      <c r="A18" s="8" t="s">
        <v>561</v>
      </c>
      <c r="B18" s="4" t="s">
        <v>326</v>
      </c>
      <c r="C18" s="56">
        <f>-(Costs!C51+Costs!C46+Costs!C34+Costs!C35+Costs!C55)*C6</f>
        <v>-2034.3882069634847</v>
      </c>
      <c r="D18" s="56">
        <f>-(Costs!D51+Costs!D46+Costs!D34+Costs!D35+Costs!D55)*D6</f>
        <v>-2093.0755743846403</v>
      </c>
      <c r="E18" s="56">
        <f>-(Costs!E51+Costs!E46+Costs!E34+Costs!E35+Costs!E55)*E6</f>
        <v>-2024.4339365385629</v>
      </c>
      <c r="F18" s="56">
        <f>-(Costs!F51+Costs!F46+Costs!F34+Costs!F35+Costs!F55)*F6</f>
        <v>-2209.0909647052204</v>
      </c>
      <c r="G18" s="56">
        <f>-(Costs!G51+Costs!G46+Costs!G34+Costs!G35+Costs!G55)*G6</f>
        <v>-2232.8119866355864</v>
      </c>
      <c r="H18" s="56">
        <f>-(Costs!H51+Costs!H46+Costs!H34+Costs!H35+Costs!H55)*H6</f>
        <v>-2321.8225389788677</v>
      </c>
      <c r="I18" s="56">
        <f>-(Costs!I51+Costs!I46+Costs!I34+Costs!I35+Costs!I55)*I6</f>
        <v>-2377.743632713366</v>
      </c>
      <c r="J18" s="56">
        <f>-(Costs!J51+Costs!J46+Costs!J34+Costs!J35+Costs!J55)*J6</f>
        <v>-2411.2963034142658</v>
      </c>
      <c r="K18" s="56">
        <f>-(Costs!K51+Costs!K46+Costs!K34+Costs!K35+Costs!K55)*K6</f>
        <v>-2503.9350583997179</v>
      </c>
      <c r="L18" s="56">
        <f>-(Costs!L51+Costs!L46+Costs!L34+Costs!L35+Costs!L55)*L6</f>
        <v>-2471.6540704481376</v>
      </c>
      <c r="M18" s="56">
        <f>-(Costs!M51+Costs!M46+Costs!M34+Costs!M35+Costs!M55)*M6</f>
        <v>-2500.4776841057424</v>
      </c>
      <c r="N18" s="56">
        <f>-(Costs!N51+Costs!N46+Costs!N34+Costs!N35+Costs!N55)*N6</f>
        <v>-2463.291471943071</v>
      </c>
      <c r="O18" s="42">
        <f t="shared" si="2"/>
        <v>-27644.021429230663</v>
      </c>
    </row>
    <row r="19" spans="1:16" x14ac:dyDescent="0.25">
      <c r="A19" s="59" t="s">
        <v>562</v>
      </c>
      <c r="B19" s="60" t="s">
        <v>326</v>
      </c>
      <c r="C19" s="79">
        <f t="shared" ref="C19:N19" si="5">C17+C18</f>
        <v>2083.1146284791403</v>
      </c>
      <c r="D19" s="79">
        <f t="shared" si="5"/>
        <v>2153.7656756320612</v>
      </c>
      <c r="E19" s="79">
        <f t="shared" si="5"/>
        <v>520.67419617096698</v>
      </c>
      <c r="F19" s="79">
        <f t="shared" si="5"/>
        <v>-297.28809422212589</v>
      </c>
      <c r="G19" s="79">
        <f t="shared" si="5"/>
        <v>256.43045031009524</v>
      </c>
      <c r="H19" s="79">
        <f t="shared" si="5"/>
        <v>337.05503769460483</v>
      </c>
      <c r="I19" s="79">
        <f t="shared" si="5"/>
        <v>660.35609075736329</v>
      </c>
      <c r="J19" s="79">
        <f t="shared" si="5"/>
        <v>1099.7883649078708</v>
      </c>
      <c r="K19" s="79">
        <f t="shared" si="5"/>
        <v>1207.8764412678547</v>
      </c>
      <c r="L19" s="79">
        <f t="shared" si="5"/>
        <v>1738.8394352243722</v>
      </c>
      <c r="M19" s="79">
        <f t="shared" si="5"/>
        <v>2030.387450454084</v>
      </c>
      <c r="N19" s="79">
        <f t="shared" si="5"/>
        <v>2151.5717258065879</v>
      </c>
      <c r="O19" s="62">
        <f t="shared" si="2"/>
        <v>13942.571402482874</v>
      </c>
    </row>
    <row r="20" spans="1:16" x14ac:dyDescent="0.25">
      <c r="A20" s="8" t="s">
        <v>563</v>
      </c>
      <c r="B20" s="4" t="s">
        <v>301</v>
      </c>
      <c r="C20" s="20">
        <f>Topline_ExC!C16</f>
        <v>310400</v>
      </c>
      <c r="D20" s="20">
        <f>Topline_ExC!D16</f>
        <v>345600</v>
      </c>
      <c r="E20" s="20">
        <f>Topline_ExC!E16</f>
        <v>274400</v>
      </c>
      <c r="F20" s="20">
        <f>Topline_ExC!F16</f>
        <v>294000</v>
      </c>
      <c r="G20" s="20">
        <f>Topline_ExC!G16</f>
        <v>313600</v>
      </c>
      <c r="H20" s="20">
        <f>Topline_ExC!H16</f>
        <v>352800</v>
      </c>
      <c r="I20" s="20">
        <f>Topline_ExC!I16</f>
        <v>392000</v>
      </c>
      <c r="J20" s="20">
        <f>Topline_ExC!J16</f>
        <v>411600</v>
      </c>
      <c r="K20" s="20">
        <f>Topline_ExC!K16</f>
        <v>470400</v>
      </c>
      <c r="L20" s="20">
        <f>Topline_ExC!L16</f>
        <v>480200</v>
      </c>
      <c r="M20" s="20">
        <f>Topline_ExC!M16</f>
        <v>518400</v>
      </c>
      <c r="N20" s="20">
        <f>Topline_ExC!N16</f>
        <v>490000</v>
      </c>
      <c r="O20" s="42">
        <f t="shared" si="2"/>
        <v>4653400</v>
      </c>
    </row>
    <row r="21" spans="1:16" x14ac:dyDescent="0.25">
      <c r="A21" s="8" t="s">
        <v>564</v>
      </c>
      <c r="B21" s="4" t="s">
        <v>323</v>
      </c>
      <c r="C21" s="56">
        <f t="shared" ref="C21:O21" si="6">C15*1000000/C20</f>
        <v>18229.783604139269</v>
      </c>
      <c r="D21" s="56">
        <f t="shared" si="6"/>
        <v>18246.190152440151</v>
      </c>
      <c r="E21" s="56">
        <f t="shared" si="6"/>
        <v>15473.948280103537</v>
      </c>
      <c r="F21" s="56">
        <f t="shared" si="6"/>
        <v>13586.676966248579</v>
      </c>
      <c r="G21" s="56">
        <f t="shared" si="6"/>
        <v>14845.228006120862</v>
      </c>
      <c r="H21" s="56">
        <f t="shared" si="6"/>
        <v>14865.600738547164</v>
      </c>
      <c r="I21" s="56">
        <f t="shared" si="6"/>
        <v>14881.898924488209</v>
      </c>
      <c r="J21" s="56">
        <f t="shared" si="6"/>
        <v>14888.883861320086</v>
      </c>
      <c r="K21" s="56">
        <f t="shared" si="6"/>
        <v>14906.346203399771</v>
      </c>
      <c r="L21" s="56">
        <f t="shared" si="6"/>
        <v>14908.840823696872</v>
      </c>
      <c r="M21" s="56">
        <f t="shared" si="6"/>
        <v>14917.66438808105</v>
      </c>
      <c r="N21" s="56">
        <f t="shared" si="6"/>
        <v>14682.077593933158</v>
      </c>
      <c r="O21" s="42">
        <f t="shared" si="6"/>
        <v>15293.261885926478</v>
      </c>
    </row>
    <row r="22" spans="1:16" x14ac:dyDescent="0.25">
      <c r="A22" s="8" t="s">
        <v>565</v>
      </c>
      <c r="B22" s="4" t="s">
        <v>323</v>
      </c>
      <c r="C22" s="56">
        <f t="shared" ref="C22:O22" si="7">C17*1000000/C20</f>
        <v>13265.15088737959</v>
      </c>
      <c r="D22" s="56">
        <f t="shared" si="7"/>
        <v>12288.313802131659</v>
      </c>
      <c r="E22" s="56">
        <f t="shared" si="7"/>
        <v>9275.175410749016</v>
      </c>
      <c r="F22" s="56">
        <f t="shared" si="7"/>
        <v>6502.7308519833141</v>
      </c>
      <c r="G22" s="56">
        <f t="shared" si="7"/>
        <v>7937.6353218931172</v>
      </c>
      <c r="H22" s="56">
        <f t="shared" si="7"/>
        <v>7536.5010676685724</v>
      </c>
      <c r="I22" s="56">
        <f t="shared" si="7"/>
        <v>7750.2543966090034</v>
      </c>
      <c r="J22" s="56">
        <f t="shared" si="7"/>
        <v>8530.332041598971</v>
      </c>
      <c r="K22" s="56">
        <f t="shared" si="7"/>
        <v>7890.7557390892271</v>
      </c>
      <c r="L22" s="56">
        <f t="shared" si="7"/>
        <v>8768.2080501301734</v>
      </c>
      <c r="M22" s="56">
        <f t="shared" si="7"/>
        <v>8740.0947811725055</v>
      </c>
      <c r="N22" s="56">
        <f t="shared" si="7"/>
        <v>9418.0881586727719</v>
      </c>
      <c r="O22" s="42">
        <f t="shared" si="7"/>
        <v>8936.8188489520653</v>
      </c>
    </row>
    <row r="23" spans="1:16" x14ac:dyDescent="0.25">
      <c r="A23" s="8" t="s">
        <v>566</v>
      </c>
      <c r="B23" s="4" t="s">
        <v>323</v>
      </c>
      <c r="C23" s="56">
        <f t="shared" ref="C23:O23" si="8">C19*1000000/C20</f>
        <v>6711.0651690693949</v>
      </c>
      <c r="D23" s="56">
        <f t="shared" si="8"/>
        <v>6231.9608669909176</v>
      </c>
      <c r="E23" s="56">
        <f t="shared" si="8"/>
        <v>1897.5007149087719</v>
      </c>
      <c r="F23" s="56">
        <f t="shared" si="8"/>
        <v>-1011.1839939528091</v>
      </c>
      <c r="G23" s="56">
        <f t="shared" si="8"/>
        <v>817.69914001943641</v>
      </c>
      <c r="H23" s="56">
        <f t="shared" si="8"/>
        <v>955.37142203686176</v>
      </c>
      <c r="I23" s="56">
        <f t="shared" si="8"/>
        <v>1684.5818641769472</v>
      </c>
      <c r="J23" s="56">
        <f t="shared" si="8"/>
        <v>2671.9833938480824</v>
      </c>
      <c r="K23" s="56">
        <f t="shared" si="8"/>
        <v>2567.764543511596</v>
      </c>
      <c r="L23" s="56">
        <f t="shared" si="8"/>
        <v>3621.0733761440488</v>
      </c>
      <c r="M23" s="56">
        <f t="shared" si="8"/>
        <v>3916.6424584376623</v>
      </c>
      <c r="N23" s="56">
        <f t="shared" si="8"/>
        <v>4390.9627057277303</v>
      </c>
      <c r="O23" s="42">
        <f t="shared" si="8"/>
        <v>2996.2116737187594</v>
      </c>
    </row>
    <row r="24" spans="1:16" x14ac:dyDescent="0.25">
      <c r="A24" s="47" t="s">
        <v>54</v>
      </c>
      <c r="B24" s="4" t="s">
        <v>100</v>
      </c>
      <c r="C24" s="78">
        <f t="shared" ref="C24:O24" si="9">C19/C11</f>
        <v>0.20972078653341861</v>
      </c>
      <c r="D24" s="78">
        <f t="shared" si="9"/>
        <v>0.19474877709346616</v>
      </c>
      <c r="E24" s="78">
        <f t="shared" si="9"/>
        <v>5.9296897340899123E-2</v>
      </c>
      <c r="F24" s="78">
        <f t="shared" si="9"/>
        <v>-3.1599499811025285E-2</v>
      </c>
      <c r="G24" s="78">
        <f t="shared" si="9"/>
        <v>2.5553098125607385E-2</v>
      </c>
      <c r="H24" s="78">
        <f t="shared" si="9"/>
        <v>2.985535693865193E-2</v>
      </c>
      <c r="I24" s="78">
        <f t="shared" si="9"/>
        <v>5.2643183255529601E-2</v>
      </c>
      <c r="J24" s="78">
        <f t="shared" si="9"/>
        <v>8.3499481057752581E-2</v>
      </c>
      <c r="K24" s="78">
        <f t="shared" si="9"/>
        <v>8.0242641984737378E-2</v>
      </c>
      <c r="L24" s="78">
        <f t="shared" si="9"/>
        <v>0.11315854300450152</v>
      </c>
      <c r="M24" s="78">
        <f t="shared" si="9"/>
        <v>0.12239507682617695</v>
      </c>
      <c r="N24" s="78">
        <f t="shared" si="9"/>
        <v>0.13721758455399158</v>
      </c>
      <c r="O24" s="46">
        <f t="shared" si="9"/>
        <v>9.3631614803711238E-2</v>
      </c>
    </row>
    <row r="25" spans="1:16" x14ac:dyDescent="0.25">
      <c r="A25" s="40" t="s">
        <v>567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 x14ac:dyDescent="0.25">
      <c r="A26" s="8" t="s">
        <v>50</v>
      </c>
      <c r="B26" s="4" t="s">
        <v>326</v>
      </c>
      <c r="C26" s="20">
        <f>Topline_ExC!C28</f>
        <v>3570</v>
      </c>
      <c r="D26" s="20">
        <f>Topline_ExC!D28</f>
        <v>3910</v>
      </c>
      <c r="E26" s="20">
        <f>Topline_ExC!E28</f>
        <v>3060</v>
      </c>
      <c r="F26" s="20">
        <f>Topline_ExC!F28</f>
        <v>3400</v>
      </c>
      <c r="G26" s="20">
        <f>Topline_ExC!G28</f>
        <v>3570</v>
      </c>
      <c r="H26" s="20">
        <f>Topline_ExC!H28</f>
        <v>3740</v>
      </c>
      <c r="I26" s="20">
        <f>Topline_ExC!I28</f>
        <v>4250</v>
      </c>
      <c r="J26" s="20">
        <f>Topline_ExC!J28</f>
        <v>4420</v>
      </c>
      <c r="K26" s="20">
        <f>Topline_ExC!K28</f>
        <v>5440</v>
      </c>
      <c r="L26" s="20">
        <f>Topline_ExC!L28</f>
        <v>5950</v>
      </c>
      <c r="M26" s="20">
        <f>Topline_ExC!M28</f>
        <v>6800</v>
      </c>
      <c r="N26" s="20">
        <f>Topline_ExC!N28</f>
        <v>6460</v>
      </c>
      <c r="O26" s="42">
        <f t="shared" ref="O26:O35" si="10">SUM(C26:N26)</f>
        <v>54570</v>
      </c>
    </row>
    <row r="27" spans="1:16" x14ac:dyDescent="0.25">
      <c r="A27" s="8" t="s">
        <v>555</v>
      </c>
      <c r="B27" s="4" t="s">
        <v>326</v>
      </c>
      <c r="C27" s="56">
        <f>-(Costs!C22+Costs!C23)*C7</f>
        <v>-1245.1599326599326</v>
      </c>
      <c r="D27" s="56">
        <f>-(Costs!D22+Costs!D23)*D7</f>
        <v>-1363.7465929132597</v>
      </c>
      <c r="E27" s="56">
        <f>-(Costs!E22+Costs!E23)*E7</f>
        <v>-1294.8071532411586</v>
      </c>
      <c r="F27" s="56">
        <f>-(Costs!F22+Costs!F23)*F7</f>
        <v>-1597.549297293978</v>
      </c>
      <c r="G27" s="56">
        <f>-(Costs!G22+Costs!G23)*G7</f>
        <v>-1556.4499158249157</v>
      </c>
      <c r="H27" s="56">
        <f>-(Costs!H22+Costs!H23)*H7</f>
        <v>-1630.5665784832454</v>
      </c>
      <c r="I27" s="56">
        <f>-(Costs!I22+Costs!I23)*I7</f>
        <v>-1852.9165664582331</v>
      </c>
      <c r="J27" s="56">
        <f>-(Costs!J22+Costs!J23)*J7</f>
        <v>-1927.0332291165628</v>
      </c>
      <c r="K27" s="56">
        <f>-(Costs!K22+Costs!K23)*K7</f>
        <v>-2371.7332050665386</v>
      </c>
      <c r="L27" s="56">
        <f>-(Costs!L22+Costs!L23)*L7</f>
        <v>-2594.0831930415256</v>
      </c>
      <c r="M27" s="56">
        <f>-(Costs!M22+Costs!M23)*M7</f>
        <v>-2964.6665063331748</v>
      </c>
      <c r="N27" s="56">
        <f>-(Costs!N22+Costs!N23)*N7</f>
        <v>-2856.6835220771259</v>
      </c>
      <c r="O27" s="42">
        <f t="shared" si="10"/>
        <v>-23255.39569250965</v>
      </c>
    </row>
    <row r="28" spans="1:16" x14ac:dyDescent="0.25">
      <c r="A28" s="8" t="s">
        <v>556</v>
      </c>
      <c r="B28" s="4" t="s">
        <v>326</v>
      </c>
      <c r="C28" s="56">
        <f>-Costs!C24*C9</f>
        <v>-42.699999999999996</v>
      </c>
      <c r="D28" s="56">
        <f>-Costs!D24*D9</f>
        <v>-46.766666666666652</v>
      </c>
      <c r="E28" s="56">
        <f>-Costs!E24*E9</f>
        <v>-36.599999999999994</v>
      </c>
      <c r="F28" s="56">
        <f>-Costs!F24*F9</f>
        <v>-50.833333333333329</v>
      </c>
      <c r="G28" s="56">
        <f>-Costs!G24*G9</f>
        <v>-53.374999999999986</v>
      </c>
      <c r="H28" s="56">
        <f>-Costs!H24*H9</f>
        <v>-55.916666666666671</v>
      </c>
      <c r="I28" s="56">
        <f>-Costs!I24*I9</f>
        <v>-63.541666666666664</v>
      </c>
      <c r="J28" s="56">
        <f>-Costs!J24*J9</f>
        <v>-66.083333333333329</v>
      </c>
      <c r="K28" s="56">
        <f>-Costs!K24*K9</f>
        <v>-81.333333333333314</v>
      </c>
      <c r="L28" s="56">
        <f>-Costs!L24*L9</f>
        <v>-88.958333333333329</v>
      </c>
      <c r="M28" s="56">
        <f>-Costs!M24*M9</f>
        <v>-101.66666666666669</v>
      </c>
      <c r="N28" s="56">
        <f>-Costs!N24*N9</f>
        <v>-96.583333333333343</v>
      </c>
      <c r="O28" s="42">
        <f t="shared" si="10"/>
        <v>-784.35833333333346</v>
      </c>
    </row>
    <row r="29" spans="1:16" x14ac:dyDescent="0.25">
      <c r="A29" s="8" t="s">
        <v>557</v>
      </c>
      <c r="B29" s="4" t="s">
        <v>326</v>
      </c>
      <c r="C29" s="56">
        <f>-Costs!C44</f>
        <v>-21</v>
      </c>
      <c r="D29" s="56">
        <f>-Costs!D44</f>
        <v>-23</v>
      </c>
      <c r="E29" s="56">
        <f>-Costs!E44</f>
        <v>-18</v>
      </c>
      <c r="F29" s="56">
        <f>-Costs!F44</f>
        <v>-23</v>
      </c>
      <c r="G29" s="56">
        <f>-Costs!G44</f>
        <v>-24.149999999999995</v>
      </c>
      <c r="H29" s="56">
        <f>-Costs!H44</f>
        <v>-25.299999999999997</v>
      </c>
      <c r="I29" s="56">
        <f>-Costs!I44</f>
        <v>-28.749999999999996</v>
      </c>
      <c r="J29" s="56">
        <f>-Costs!J44</f>
        <v>-29.899999999999995</v>
      </c>
      <c r="K29" s="56">
        <f>-Costs!K44</f>
        <v>-36.799999999999997</v>
      </c>
      <c r="L29" s="56">
        <f>-Costs!L44</f>
        <v>-40.25</v>
      </c>
      <c r="M29" s="56">
        <f>-Costs!M44</f>
        <v>-46</v>
      </c>
      <c r="N29" s="56">
        <f>-Costs!N44</f>
        <v>-43.7</v>
      </c>
      <c r="O29" s="42">
        <f t="shared" si="10"/>
        <v>-359.84999999999997</v>
      </c>
    </row>
    <row r="30" spans="1:16" x14ac:dyDescent="0.25">
      <c r="A30" s="57" t="s">
        <v>558</v>
      </c>
      <c r="B30" s="52" t="s">
        <v>326</v>
      </c>
      <c r="C30" s="58">
        <f t="shared" ref="C30:N30" si="11">SUM(C26:C29)</f>
        <v>2261.1400673400676</v>
      </c>
      <c r="D30" s="58">
        <f t="shared" si="11"/>
        <v>2476.4867404200741</v>
      </c>
      <c r="E30" s="58">
        <f t="shared" si="11"/>
        <v>1710.5928467588415</v>
      </c>
      <c r="F30" s="58">
        <f t="shared" si="11"/>
        <v>1728.6173693726887</v>
      </c>
      <c r="G30" s="58">
        <f t="shared" si="11"/>
        <v>1936.0250841750842</v>
      </c>
      <c r="H30" s="58">
        <f t="shared" si="11"/>
        <v>2028.2167548500881</v>
      </c>
      <c r="I30" s="58">
        <f t="shared" si="11"/>
        <v>2304.7917668751002</v>
      </c>
      <c r="J30" s="58">
        <f t="shared" si="11"/>
        <v>2396.9834375501036</v>
      </c>
      <c r="K30" s="58">
        <f t="shared" si="11"/>
        <v>2950.1334616001277</v>
      </c>
      <c r="L30" s="58">
        <f t="shared" si="11"/>
        <v>3226.7084736251409</v>
      </c>
      <c r="M30" s="58">
        <f t="shared" si="11"/>
        <v>3687.6668270001587</v>
      </c>
      <c r="N30" s="58">
        <f t="shared" si="11"/>
        <v>3463.0331445895408</v>
      </c>
      <c r="O30" s="54">
        <f t="shared" si="10"/>
        <v>30170.395974157014</v>
      </c>
    </row>
    <row r="31" spans="1:16" x14ac:dyDescent="0.25">
      <c r="A31" s="8" t="s">
        <v>559</v>
      </c>
      <c r="B31" s="4" t="s">
        <v>326</v>
      </c>
      <c r="C31" s="56">
        <f>-(Costs!C25+Costs!C26+Costs!C36-Costs!C34-Costs!C35+Costs!C40+Costs!C45)*C7</f>
        <v>-481.90034904013953</v>
      </c>
      <c r="D31" s="56">
        <f>-(Costs!D25+Costs!D26+Costs!D36-Costs!D34-Costs!D35+Costs!D40+Costs!D45)*D7</f>
        <v>-633.38845466390705</v>
      </c>
      <c r="E31" s="56">
        <f>-(Costs!E25+Costs!E26+Costs!E36-Costs!E34-Costs!E35+Costs!E40+Costs!E45)*E7</f>
        <v>-515.73790273029658</v>
      </c>
      <c r="F31" s="56">
        <f>-(Costs!F25+Costs!F26+Costs!F36-Costs!F34-Costs!F35+Costs!F40+Costs!F45)*F7</f>
        <v>-654.87146300763288</v>
      </c>
      <c r="G31" s="56">
        <f>-(Costs!G25+Costs!G26+Costs!G36-Costs!G34-Costs!G35+Costs!G40+Costs!G45)*G7</f>
        <v>-670.49699654903975</v>
      </c>
      <c r="H31" s="56">
        <f>-(Costs!H25+Costs!H26+Costs!H36-Costs!H34-Costs!H35+Costs!H40+Costs!H45)*H7</f>
        <v>-745.28800208756536</v>
      </c>
      <c r="I31" s="56">
        <f>-(Costs!I25+Costs!I26+Costs!I36-Costs!I34-Costs!I35+Costs!I40+Costs!I45)*I7</f>
        <v>-824.10114544381906</v>
      </c>
      <c r="J31" s="56">
        <f>-(Costs!J25+Costs!J26+Costs!J36-Costs!J34-Costs!J35+Costs!J40+Costs!J45)*J7</f>
        <v>-764.15662757892869</v>
      </c>
      <c r="K31" s="56">
        <f>-(Costs!K25+Costs!K26+Costs!K36-Costs!K34-Costs!K35+Costs!K40+Costs!K45)*K7</f>
        <v>-1037.6837806766885</v>
      </c>
      <c r="L31" s="56">
        <f>-(Costs!L25+Costs!L26+Costs!L36-Costs!L34-Costs!L35+Costs!L40+Costs!L45)*L7</f>
        <v>-993.41792425701192</v>
      </c>
      <c r="M31" s="56">
        <f>-(Costs!M25+Costs!M26+Costs!M36-Costs!M34-Costs!M35+Costs!M40+Costs!M45)*M7</f>
        <v>-1142.1639806550918</v>
      </c>
      <c r="N31" s="56">
        <f>-(Costs!N25+Costs!N26+Costs!N36-Costs!N34-Costs!N35+Costs!N40+Costs!N45)*N7</f>
        <v>-924.59049991773486</v>
      </c>
      <c r="O31" s="42">
        <f t="shared" si="10"/>
        <v>-9387.7971266078566</v>
      </c>
    </row>
    <row r="32" spans="1:16" x14ac:dyDescent="0.25">
      <c r="A32" s="57" t="s">
        <v>560</v>
      </c>
      <c r="B32" s="52" t="s">
        <v>326</v>
      </c>
      <c r="C32" s="58">
        <f t="shared" ref="C32:N32" si="12">C30+C31</f>
        <v>1779.239718299928</v>
      </c>
      <c r="D32" s="58">
        <f t="shared" si="12"/>
        <v>1843.0982857561671</v>
      </c>
      <c r="E32" s="58">
        <f t="shared" si="12"/>
        <v>1194.8549440285449</v>
      </c>
      <c r="F32" s="58">
        <f t="shared" si="12"/>
        <v>1073.7459063650558</v>
      </c>
      <c r="G32" s="58">
        <f t="shared" si="12"/>
        <v>1265.5280876260445</v>
      </c>
      <c r="H32" s="58">
        <f t="shared" si="12"/>
        <v>1282.9287527625229</v>
      </c>
      <c r="I32" s="58">
        <f t="shared" si="12"/>
        <v>1480.6906214312812</v>
      </c>
      <c r="J32" s="58">
        <f t="shared" si="12"/>
        <v>1632.826809971175</v>
      </c>
      <c r="K32" s="58">
        <f t="shared" si="12"/>
        <v>1912.4496809234392</v>
      </c>
      <c r="L32" s="58">
        <f t="shared" si="12"/>
        <v>2233.2905493681292</v>
      </c>
      <c r="M32" s="58">
        <f t="shared" si="12"/>
        <v>2545.5028463450672</v>
      </c>
      <c r="N32" s="58">
        <f t="shared" si="12"/>
        <v>2538.4426446718062</v>
      </c>
      <c r="O32" s="54">
        <f t="shared" si="10"/>
        <v>20782.598847549161</v>
      </c>
    </row>
    <row r="33" spans="1:16" x14ac:dyDescent="0.25">
      <c r="A33" s="8" t="s">
        <v>561</v>
      </c>
      <c r="B33" s="4" t="s">
        <v>326</v>
      </c>
      <c r="C33" s="56">
        <f>-(Costs!C51+Costs!C46+Costs!C34+Costs!C35+Costs!C55)*C7</f>
        <v>-636.18325372397612</v>
      </c>
      <c r="D33" s="56">
        <f>-(Costs!D51+Costs!D46+Costs!D34+Costs!D35+Costs!D55)*D7</f>
        <v>-643.85760981585122</v>
      </c>
      <c r="E33" s="56">
        <f>-(Costs!E51+Costs!E46+Costs!E34+Costs!E35+Costs!E55)*E7</f>
        <v>-613.82253469390855</v>
      </c>
      <c r="F33" s="56">
        <f>-(Costs!F51+Costs!F46+Costs!F34+Costs!F35+Costs!F55)*F7</f>
        <v>-694.61968353542795</v>
      </c>
      <c r="G33" s="56">
        <f>-(Costs!G51+Costs!G46+Costs!G34+Costs!G35+Costs!G55)*G7</f>
        <v>-691.10847205387188</v>
      </c>
      <c r="H33" s="56">
        <f>-(Costs!H51+Costs!H46+Costs!H34+Costs!H35+Costs!H55)*H7</f>
        <v>-669.22776129801582</v>
      </c>
      <c r="I33" s="56">
        <f>-(Costs!I51+Costs!I46+Costs!I34+Costs!I35+Costs!I55)*I7</f>
        <v>-700.9221593032596</v>
      </c>
      <c r="J33" s="56">
        <f>-(Costs!J51+Costs!J46+Costs!J34+Costs!J35+Costs!J55)*J7</f>
        <v>-704.04332193415132</v>
      </c>
      <c r="K33" s="56">
        <f>-(Costs!K51+Costs!K46+Costs!K34+Costs!K35+Costs!K55)*K7</f>
        <v>-787.32954217254928</v>
      </c>
      <c r="L33" s="56">
        <f>-(Costs!L51+Costs!L46+Costs!L34+Costs!L35+Costs!L55)*L7</f>
        <v>-832.6920094804218</v>
      </c>
      <c r="M33" s="56">
        <f>-(Costs!M51+Costs!M46+Costs!M34+Costs!M35+Costs!M55)*M7</f>
        <v>-891.80274055897576</v>
      </c>
      <c r="N33" s="56">
        <f>-(Costs!N51+Costs!N46+Costs!N34+Costs!N35+Costs!N55)*N7</f>
        <v>-882.986657335058</v>
      </c>
      <c r="O33" s="42">
        <f t="shared" si="10"/>
        <v>-8748.5957459054662</v>
      </c>
    </row>
    <row r="34" spans="1:16" x14ac:dyDescent="0.25">
      <c r="A34" s="59" t="s">
        <v>562</v>
      </c>
      <c r="B34" s="60" t="s">
        <v>326</v>
      </c>
      <c r="C34" s="79">
        <f t="shared" ref="C34:N34" si="13">C32+C33</f>
        <v>1143.0564645759518</v>
      </c>
      <c r="D34" s="79">
        <f t="shared" si="13"/>
        <v>1199.2406759403159</v>
      </c>
      <c r="E34" s="79">
        <f t="shared" si="13"/>
        <v>581.03240933463633</v>
      </c>
      <c r="F34" s="79">
        <f t="shared" si="13"/>
        <v>379.12622282962786</v>
      </c>
      <c r="G34" s="79">
        <f t="shared" si="13"/>
        <v>574.41961557217257</v>
      </c>
      <c r="H34" s="79">
        <f t="shared" si="13"/>
        <v>613.70099146450707</v>
      </c>
      <c r="I34" s="79">
        <f t="shared" si="13"/>
        <v>779.76846212802161</v>
      </c>
      <c r="J34" s="79">
        <f t="shared" si="13"/>
        <v>928.78348803702363</v>
      </c>
      <c r="K34" s="79">
        <f t="shared" si="13"/>
        <v>1125.12013875089</v>
      </c>
      <c r="L34" s="79">
        <f t="shared" si="13"/>
        <v>1400.5985398877074</v>
      </c>
      <c r="M34" s="79">
        <f t="shared" si="13"/>
        <v>1653.7001057860914</v>
      </c>
      <c r="N34" s="79">
        <f t="shared" si="13"/>
        <v>1655.4559873367482</v>
      </c>
      <c r="O34" s="62">
        <f t="shared" si="10"/>
        <v>12034.003101643693</v>
      </c>
    </row>
    <row r="35" spans="1:16" x14ac:dyDescent="0.25">
      <c r="A35" s="8" t="s">
        <v>563</v>
      </c>
      <c r="B35" s="4" t="s">
        <v>301</v>
      </c>
      <c r="C35" s="20">
        <f>Topline_ExC!C17</f>
        <v>210000</v>
      </c>
      <c r="D35" s="20">
        <f>Topline_ExC!D17</f>
        <v>230000</v>
      </c>
      <c r="E35" s="20">
        <f>Topline_ExC!E17</f>
        <v>180000</v>
      </c>
      <c r="F35" s="20">
        <f>Topline_ExC!F17</f>
        <v>200000</v>
      </c>
      <c r="G35" s="20">
        <f>Topline_ExC!G17</f>
        <v>210000</v>
      </c>
      <c r="H35" s="20">
        <f>Topline_ExC!H17</f>
        <v>220000</v>
      </c>
      <c r="I35" s="20">
        <f>Topline_ExC!I17</f>
        <v>250000</v>
      </c>
      <c r="J35" s="20">
        <f>Topline_ExC!J17</f>
        <v>260000</v>
      </c>
      <c r="K35" s="20">
        <f>Topline_ExC!K17</f>
        <v>320000</v>
      </c>
      <c r="L35" s="20">
        <f>Topline_ExC!L17</f>
        <v>350000</v>
      </c>
      <c r="M35" s="20">
        <f>Topline_ExC!M17</f>
        <v>400000</v>
      </c>
      <c r="N35" s="20">
        <f>Topline_ExC!N17</f>
        <v>380000</v>
      </c>
      <c r="O35" s="42">
        <f t="shared" si="10"/>
        <v>3210000</v>
      </c>
    </row>
    <row r="36" spans="1:16" x14ac:dyDescent="0.25">
      <c r="A36" s="8" t="s">
        <v>564</v>
      </c>
      <c r="B36" s="4" t="s">
        <v>323</v>
      </c>
      <c r="C36" s="56">
        <f t="shared" ref="C36:O36" si="14">C30*1000000/C35</f>
        <v>10767.33365400032</v>
      </c>
      <c r="D36" s="56">
        <f t="shared" si="14"/>
        <v>10767.333654000322</v>
      </c>
      <c r="E36" s="56">
        <f t="shared" si="14"/>
        <v>9503.2935931046759</v>
      </c>
      <c r="F36" s="56">
        <f t="shared" si="14"/>
        <v>8643.0868468634435</v>
      </c>
      <c r="G36" s="56">
        <f t="shared" si="14"/>
        <v>9219.1670675004007</v>
      </c>
      <c r="H36" s="56">
        <f t="shared" si="14"/>
        <v>9219.1670675004007</v>
      </c>
      <c r="I36" s="56">
        <f t="shared" si="14"/>
        <v>9219.1670675004007</v>
      </c>
      <c r="J36" s="56">
        <f t="shared" si="14"/>
        <v>9219.1670675003988</v>
      </c>
      <c r="K36" s="56">
        <f t="shared" si="14"/>
        <v>9219.1670675003988</v>
      </c>
      <c r="L36" s="56">
        <f t="shared" si="14"/>
        <v>9219.1670675004025</v>
      </c>
      <c r="M36" s="56">
        <f t="shared" si="14"/>
        <v>9219.167067500397</v>
      </c>
      <c r="N36" s="56">
        <f t="shared" si="14"/>
        <v>9113.2451173408972</v>
      </c>
      <c r="O36" s="42">
        <f t="shared" si="14"/>
        <v>9398.8772505162033</v>
      </c>
    </row>
    <row r="37" spans="1:16" x14ac:dyDescent="0.25">
      <c r="A37" s="8" t="s">
        <v>565</v>
      </c>
      <c r="B37" s="4" t="s">
        <v>323</v>
      </c>
      <c r="C37" s="56">
        <f t="shared" ref="C37:O37" si="15">C32*1000000/C35</f>
        <v>8472.5700871425142</v>
      </c>
      <c r="D37" s="56">
        <f t="shared" si="15"/>
        <v>8013.4708076355091</v>
      </c>
      <c r="E37" s="56">
        <f t="shared" si="15"/>
        <v>6638.0830223808052</v>
      </c>
      <c r="F37" s="56">
        <f t="shared" si="15"/>
        <v>5368.7295318252791</v>
      </c>
      <c r="G37" s="56">
        <f t="shared" si="15"/>
        <v>6026.324226790688</v>
      </c>
      <c r="H37" s="56">
        <f t="shared" si="15"/>
        <v>5831.4943307387402</v>
      </c>
      <c r="I37" s="56">
        <f t="shared" si="15"/>
        <v>5922.7624857251249</v>
      </c>
      <c r="J37" s="56">
        <f t="shared" si="15"/>
        <v>6280.1031152737496</v>
      </c>
      <c r="K37" s="56">
        <f t="shared" si="15"/>
        <v>5976.4052528857474</v>
      </c>
      <c r="L37" s="56">
        <f t="shared" si="15"/>
        <v>6380.8301410517979</v>
      </c>
      <c r="M37" s="56">
        <f t="shared" si="15"/>
        <v>6363.7571158626679</v>
      </c>
      <c r="N37" s="56">
        <f t="shared" si="15"/>
        <v>6680.1122228205431</v>
      </c>
      <c r="O37" s="42">
        <f t="shared" si="15"/>
        <v>6474.3298590495824</v>
      </c>
    </row>
    <row r="38" spans="1:16" x14ac:dyDescent="0.25">
      <c r="A38" s="8" t="s">
        <v>566</v>
      </c>
      <c r="B38" s="4" t="s">
        <v>323</v>
      </c>
      <c r="C38" s="56">
        <f t="shared" ref="C38:O38" si="16">C34*1000000/C35</f>
        <v>5443.1260217902463</v>
      </c>
      <c r="D38" s="56">
        <f t="shared" si="16"/>
        <v>5214.089895392678</v>
      </c>
      <c r="E38" s="56">
        <f t="shared" si="16"/>
        <v>3227.9578296368686</v>
      </c>
      <c r="F38" s="56">
        <f t="shared" si="16"/>
        <v>1895.6311141481394</v>
      </c>
      <c r="G38" s="56">
        <f t="shared" si="16"/>
        <v>2735.3315027246313</v>
      </c>
      <c r="H38" s="56">
        <f t="shared" si="16"/>
        <v>2789.549961202305</v>
      </c>
      <c r="I38" s="56">
        <f t="shared" si="16"/>
        <v>3119.0738485120864</v>
      </c>
      <c r="J38" s="56">
        <f t="shared" si="16"/>
        <v>3572.2441847577834</v>
      </c>
      <c r="K38" s="56">
        <f t="shared" si="16"/>
        <v>3516.0004335965314</v>
      </c>
      <c r="L38" s="56">
        <f t="shared" si="16"/>
        <v>4001.7101139648785</v>
      </c>
      <c r="M38" s="56">
        <f t="shared" si="16"/>
        <v>4134.2502644652286</v>
      </c>
      <c r="N38" s="56">
        <f t="shared" si="16"/>
        <v>4356.4631245703895</v>
      </c>
      <c r="O38" s="42">
        <f t="shared" si="16"/>
        <v>3748.9106235650138</v>
      </c>
    </row>
    <row r="39" spans="1:16" x14ac:dyDescent="0.25">
      <c r="A39" s="47" t="s">
        <v>54</v>
      </c>
      <c r="B39" s="4" t="s">
        <v>100</v>
      </c>
      <c r="C39" s="78">
        <f t="shared" ref="C39:O39" si="17">C34/C26</f>
        <v>0.32018388363472039</v>
      </c>
      <c r="D39" s="78">
        <f t="shared" si="17"/>
        <v>0.30671117031721634</v>
      </c>
      <c r="E39" s="78">
        <f t="shared" si="17"/>
        <v>0.18987987233158049</v>
      </c>
      <c r="F39" s="78">
        <f t="shared" si="17"/>
        <v>0.11150771259694937</v>
      </c>
      <c r="G39" s="78">
        <f t="shared" si="17"/>
        <v>0.16090185310144889</v>
      </c>
      <c r="H39" s="78">
        <f t="shared" si="17"/>
        <v>0.16409117418837088</v>
      </c>
      <c r="I39" s="78">
        <f t="shared" si="17"/>
        <v>0.18347493226541686</v>
      </c>
      <c r="J39" s="78">
        <f t="shared" si="17"/>
        <v>0.2101320108681049</v>
      </c>
      <c r="K39" s="78">
        <f t="shared" si="17"/>
        <v>0.206823554917443</v>
      </c>
      <c r="L39" s="78">
        <f t="shared" si="17"/>
        <v>0.23539471258616931</v>
      </c>
      <c r="M39" s="78">
        <f t="shared" si="17"/>
        <v>0.24319119202736639</v>
      </c>
      <c r="N39" s="78">
        <f t="shared" si="17"/>
        <v>0.25626253673943472</v>
      </c>
      <c r="O39" s="46">
        <f t="shared" si="17"/>
        <v>0.22052415432735373</v>
      </c>
    </row>
    <row r="40" spans="1:16" x14ac:dyDescent="0.25">
      <c r="A40" s="40" t="s">
        <v>568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16" x14ac:dyDescent="0.25">
      <c r="A41" s="8" t="s">
        <v>569</v>
      </c>
      <c r="B41" s="4" t="s">
        <v>326</v>
      </c>
      <c r="C41" s="20">
        <f>Topline_ExC!C29</f>
        <v>0</v>
      </c>
      <c r="D41" s="20">
        <f>Topline_ExC!D29</f>
        <v>-165.88800000000001</v>
      </c>
      <c r="E41" s="20">
        <f>Topline_ExC!E29</f>
        <v>0</v>
      </c>
      <c r="F41" s="20">
        <f>Topline_ExC!F29</f>
        <v>0</v>
      </c>
      <c r="G41" s="20">
        <f>Topline_ExC!G29</f>
        <v>0</v>
      </c>
      <c r="H41" s="20">
        <f>Topline_ExC!H29</f>
        <v>0</v>
      </c>
      <c r="I41" s="20">
        <f>Topline_ExC!I29</f>
        <v>0</v>
      </c>
      <c r="J41" s="20">
        <f>Topline_ExC!J29</f>
        <v>0</v>
      </c>
      <c r="K41" s="20">
        <f>Topline_ExC!K29</f>
        <v>1000</v>
      </c>
      <c r="L41" s="20">
        <f>Topline_ExC!L29</f>
        <v>0</v>
      </c>
      <c r="M41" s="20">
        <f>Topline_ExC!M29</f>
        <v>-248.83199999999999</v>
      </c>
      <c r="N41" s="20">
        <f>Topline_ExC!N29</f>
        <v>0</v>
      </c>
      <c r="O41" s="42">
        <f>SUM(C41:N41)</f>
        <v>585.28</v>
      </c>
    </row>
    <row r="42" spans="1:16" x14ac:dyDescent="0.25">
      <c r="A42" s="47" t="s">
        <v>570</v>
      </c>
      <c r="B42" s="4" t="s">
        <v>326</v>
      </c>
      <c r="C42" s="48">
        <f t="shared" ref="C42:N42" si="18">C19+C34+C41</f>
        <v>3226.1710930550921</v>
      </c>
      <c r="D42" s="48">
        <f t="shared" si="18"/>
        <v>3187.1183515723769</v>
      </c>
      <c r="E42" s="48">
        <f t="shared" si="18"/>
        <v>1101.7066055056034</v>
      </c>
      <c r="F42" s="48">
        <f t="shared" si="18"/>
        <v>81.838128607501972</v>
      </c>
      <c r="G42" s="48">
        <f t="shared" si="18"/>
        <v>830.85006588226781</v>
      </c>
      <c r="H42" s="48">
        <f t="shared" si="18"/>
        <v>950.7560291591119</v>
      </c>
      <c r="I42" s="48">
        <f t="shared" si="18"/>
        <v>1440.1245528853849</v>
      </c>
      <c r="J42" s="48">
        <f t="shared" si="18"/>
        <v>2028.5718529448945</v>
      </c>
      <c r="K42" s="48">
        <f t="shared" si="18"/>
        <v>3332.9965800187447</v>
      </c>
      <c r="L42" s="48">
        <f t="shared" si="18"/>
        <v>3139.4379751120796</v>
      </c>
      <c r="M42" s="48">
        <f t="shared" si="18"/>
        <v>3435.2555562401753</v>
      </c>
      <c r="N42" s="48">
        <f t="shared" si="18"/>
        <v>3807.0277131433359</v>
      </c>
      <c r="O42" s="42">
        <f>SUM(C42:N42)</f>
        <v>26561.854504126572</v>
      </c>
    </row>
    <row r="43" spans="1:16" x14ac:dyDescent="0.25">
      <c r="A43" s="8" t="s">
        <v>571</v>
      </c>
      <c r="B43" s="4" t="s">
        <v>326</v>
      </c>
      <c r="C43" s="20">
        <f>PnL_ExE!C35</f>
        <v>3226.1710930550917</v>
      </c>
      <c r="D43" s="20">
        <f>PnL_ExE!D35</f>
        <v>3187.1183515723769</v>
      </c>
      <c r="E43" s="20">
        <f>PnL_ExE!E35</f>
        <v>1101.7066055056025</v>
      </c>
      <c r="F43" s="20">
        <f>PnL_ExE!F35</f>
        <v>81.838128607501858</v>
      </c>
      <c r="G43" s="20">
        <f>PnL_ExE!G35</f>
        <v>830.85006588226679</v>
      </c>
      <c r="H43" s="20">
        <f>PnL_ExE!H35</f>
        <v>950.7560291591135</v>
      </c>
      <c r="I43" s="20">
        <f>PnL_ExE!I35</f>
        <v>1440.1245528853842</v>
      </c>
      <c r="J43" s="20">
        <f>PnL_ExE!J35</f>
        <v>2028.571852944895</v>
      </c>
      <c r="K43" s="20">
        <f>PnL_ExE!K35</f>
        <v>3332.9965800187447</v>
      </c>
      <c r="L43" s="20">
        <f>PnL_ExE!L35</f>
        <v>3139.4379751120814</v>
      </c>
      <c r="M43" s="20">
        <f>PnL_ExE!M35</f>
        <v>3435.2555562401758</v>
      </c>
      <c r="N43" s="20">
        <f>PnL_ExE!N35</f>
        <v>3807.027713143334</v>
      </c>
      <c r="O43" s="42">
        <f>SUM(C43:N43)</f>
        <v>26561.854504126568</v>
      </c>
    </row>
    <row r="44" spans="1:16" x14ac:dyDescent="0.25">
      <c r="A44" s="8" t="s">
        <v>572</v>
      </c>
      <c r="B44" s="4" t="s">
        <v>326</v>
      </c>
      <c r="C44" s="43">
        <f t="shared" ref="C44:N44" si="19">ROUND(C42-C43,3)</f>
        <v>0</v>
      </c>
      <c r="D44" s="43">
        <f t="shared" si="19"/>
        <v>0</v>
      </c>
      <c r="E44" s="43">
        <f t="shared" si="19"/>
        <v>0</v>
      </c>
      <c r="F44" s="43">
        <f t="shared" si="19"/>
        <v>0</v>
      </c>
      <c r="G44" s="43">
        <f t="shared" si="19"/>
        <v>0</v>
      </c>
      <c r="H44" s="43">
        <f t="shared" si="19"/>
        <v>0</v>
      </c>
      <c r="I44" s="43">
        <f t="shared" si="19"/>
        <v>0</v>
      </c>
      <c r="J44" s="43">
        <f t="shared" si="19"/>
        <v>0</v>
      </c>
      <c r="K44" s="43">
        <f t="shared" si="19"/>
        <v>0</v>
      </c>
      <c r="L44" s="43">
        <f t="shared" si="19"/>
        <v>0</v>
      </c>
      <c r="M44" s="43">
        <f t="shared" si="19"/>
        <v>0</v>
      </c>
      <c r="N44" s="43">
        <f t="shared" si="19"/>
        <v>0</v>
      </c>
      <c r="O44" s="44">
        <f>SUM(C44:N44)</f>
        <v>0</v>
      </c>
    </row>
    <row r="46" spans="1:16" x14ac:dyDescent="0.25">
      <c r="A46" s="5" t="s">
        <v>573</v>
      </c>
      <c r="B46" s="5"/>
      <c r="C46" s="5" t="s">
        <v>574</v>
      </c>
      <c r="D46" s="5" t="s">
        <v>575</v>
      </c>
      <c r="E46" s="5" t="s">
        <v>576</v>
      </c>
    </row>
    <row r="47" spans="1:16" x14ac:dyDescent="0.25">
      <c r="A47" s="14" t="s">
        <v>563</v>
      </c>
      <c r="B47" s="4" t="s">
        <v>301</v>
      </c>
      <c r="C47" s="56">
        <f>$O$20</f>
        <v>4653400</v>
      </c>
      <c r="D47" s="56">
        <f>$O$35</f>
        <v>3210000</v>
      </c>
    </row>
    <row r="48" spans="1:16" x14ac:dyDescent="0.25">
      <c r="A48" s="14" t="s">
        <v>577</v>
      </c>
      <c r="B48" s="4" t="s">
        <v>341</v>
      </c>
      <c r="C48" s="20">
        <f>Assumptions!$C$6</f>
        <v>75</v>
      </c>
      <c r="D48" s="20">
        <f>Assumptions!$C$7</f>
        <v>40</v>
      </c>
    </row>
    <row r="49" spans="1:6" x14ac:dyDescent="0.25">
      <c r="A49" s="14" t="s">
        <v>578</v>
      </c>
      <c r="B49" s="4" t="s">
        <v>323</v>
      </c>
      <c r="C49" s="56">
        <f>$O$11*1000000/C47</f>
        <v>32000</v>
      </c>
      <c r="D49" s="56">
        <f>$O$26*1000000/D47</f>
        <v>17000</v>
      </c>
      <c r="E49" s="55">
        <f t="shared" ref="E49:E54" si="20">IFERROR(D49/C49-1,0)</f>
        <v>-0.46875</v>
      </c>
    </row>
    <row r="50" spans="1:6" x14ac:dyDescent="0.25">
      <c r="A50" s="14" t="s">
        <v>579</v>
      </c>
      <c r="B50" s="4" t="s">
        <v>323</v>
      </c>
      <c r="C50" s="56">
        <f>($O$11-$O$15)*1000000/C47</f>
        <v>16706.73811407352</v>
      </c>
      <c r="D50" s="56">
        <f>($O$26-$O$30)*1000000/D47</f>
        <v>7601.1227494837967</v>
      </c>
      <c r="E50" s="55">
        <f t="shared" si="20"/>
        <v>-0.5450265217792144</v>
      </c>
    </row>
    <row r="51" spans="1:6" x14ac:dyDescent="0.25">
      <c r="A51" s="14" t="s">
        <v>580</v>
      </c>
      <c r="B51" s="4" t="s">
        <v>323</v>
      </c>
      <c r="C51" s="56">
        <f>($O$11-$O$19)*1000000/C47</f>
        <v>29003.788326281239</v>
      </c>
      <c r="D51" s="56">
        <f>($O$26-$O$34)*1000000/D47</f>
        <v>13251.089376434988</v>
      </c>
      <c r="E51" s="55">
        <f t="shared" si="20"/>
        <v>-0.54312556596519634</v>
      </c>
    </row>
    <row r="52" spans="1:6" x14ac:dyDescent="0.25">
      <c r="A52" s="14" t="s">
        <v>581</v>
      </c>
      <c r="B52" s="4" t="s">
        <v>323</v>
      </c>
      <c r="C52" s="56">
        <f>$O$21</f>
        <v>15293.261885926478</v>
      </c>
      <c r="D52" s="56">
        <f>$O$36</f>
        <v>9398.8772505162033</v>
      </c>
      <c r="E52" s="55">
        <f t="shared" si="20"/>
        <v>-0.38542363816018499</v>
      </c>
    </row>
    <row r="53" spans="1:6" x14ac:dyDescent="0.25">
      <c r="A53" s="14" t="s">
        <v>582</v>
      </c>
      <c r="B53" s="4" t="s">
        <v>323</v>
      </c>
      <c r="C53" s="56">
        <f>$O$22</f>
        <v>8936.8188489520653</v>
      </c>
      <c r="D53" s="56">
        <f>$O$37</f>
        <v>6474.3298590495824</v>
      </c>
      <c r="E53" s="55">
        <f t="shared" si="20"/>
        <v>-0.27554424359751184</v>
      </c>
    </row>
    <row r="54" spans="1:6" x14ac:dyDescent="0.25">
      <c r="A54" s="18" t="s">
        <v>583</v>
      </c>
      <c r="B54" s="4" t="s">
        <v>323</v>
      </c>
      <c r="C54" s="48">
        <f>$O$23</f>
        <v>2996.2116737187594</v>
      </c>
      <c r="D54" s="48">
        <f>$O$38</f>
        <v>3748.9106235650138</v>
      </c>
      <c r="E54" s="55">
        <f t="shared" si="20"/>
        <v>0.25121688045225432</v>
      </c>
    </row>
    <row r="55" spans="1:6" x14ac:dyDescent="0.25">
      <c r="A55" s="14" t="s">
        <v>584</v>
      </c>
      <c r="B55" s="4" t="s">
        <v>100</v>
      </c>
      <c r="C55" s="55">
        <f>$O$15/$O$11</f>
        <v>0.4779144339352025</v>
      </c>
      <c r="D55" s="55">
        <f>$O$30/$O$26</f>
        <v>0.5528751323833061</v>
      </c>
      <c r="E55" s="55">
        <f>D55-C55</f>
        <v>7.4960698448103602E-2</v>
      </c>
      <c r="F55" s="80" t="s">
        <v>585</v>
      </c>
    </row>
    <row r="56" spans="1:6" x14ac:dyDescent="0.25">
      <c r="A56" s="18" t="s">
        <v>54</v>
      </c>
      <c r="B56" s="4" t="s">
        <v>100</v>
      </c>
      <c r="C56" s="78">
        <f>$O$24</f>
        <v>9.3631614803711238E-2</v>
      </c>
      <c r="D56" s="78">
        <f>$O$39</f>
        <v>0.22052415432735373</v>
      </c>
      <c r="E56" s="55">
        <f>D56-C56</f>
        <v>0.12689253952364249</v>
      </c>
      <c r="F56" s="80" t="s">
        <v>585</v>
      </c>
    </row>
    <row r="57" spans="1:6" x14ac:dyDescent="0.25">
      <c r="A57" s="14" t="s">
        <v>586</v>
      </c>
      <c r="B57" s="4" t="s">
        <v>587</v>
      </c>
      <c r="C57" s="56">
        <f>C49/C48</f>
        <v>426.66666666666669</v>
      </c>
      <c r="D57" s="56">
        <f>D49/D48</f>
        <v>425</v>
      </c>
      <c r="E57" s="55">
        <f>IFERROR(D57/C57-1,0)</f>
        <v>-3.90625E-3</v>
      </c>
    </row>
    <row r="58" spans="1:6" x14ac:dyDescent="0.25">
      <c r="A58" s="14" t="s">
        <v>588</v>
      </c>
      <c r="B58" s="4" t="s">
        <v>587</v>
      </c>
      <c r="C58" s="56">
        <f>C51/C48</f>
        <v>386.71717768374987</v>
      </c>
      <c r="D58" s="56">
        <f>D51/D48</f>
        <v>331.27723441087471</v>
      </c>
      <c r="E58" s="55">
        <f>IFERROR(D58/C58-1,0)</f>
        <v>-0.14336043618474303</v>
      </c>
    </row>
    <row r="59" spans="1:6" x14ac:dyDescent="0.25">
      <c r="A59" s="14" t="s">
        <v>589</v>
      </c>
      <c r="B59" s="4" t="s">
        <v>113</v>
      </c>
      <c r="C59" s="22">
        <f>Capacity_ExD!$O$19</f>
        <v>96.095999999999989</v>
      </c>
      <c r="D59" s="22">
        <f>Capacity_ExD!$O$20</f>
        <v>110.88</v>
      </c>
      <c r="E59" s="55">
        <f>IFERROR(D59/C59-1,0)</f>
        <v>0.15384615384615397</v>
      </c>
    </row>
    <row r="60" spans="1:6" x14ac:dyDescent="0.25">
      <c r="A60" s="14" t="s">
        <v>590</v>
      </c>
      <c r="B60" s="4" t="s">
        <v>301</v>
      </c>
      <c r="C60" s="20">
        <f>Capacity_ExD!$O$21</f>
        <v>4612.6079999999993</v>
      </c>
      <c r="D60" s="20">
        <f>Capacity_ExD!$O$22</f>
        <v>9979.1999999999989</v>
      </c>
      <c r="E60" s="55">
        <f>IFERROR(D60/C60-1,0)</f>
        <v>1.1634615384615388</v>
      </c>
    </row>
    <row r="61" spans="1:6" x14ac:dyDescent="0.25">
      <c r="A61" s="14" t="s">
        <v>591</v>
      </c>
      <c r="B61" s="4" t="s">
        <v>326</v>
      </c>
      <c r="C61" s="64">
        <f>$O$19/(Capacity_ExD!$O$29*12)</f>
        <v>14.247783439060347</v>
      </c>
      <c r="D61" s="64">
        <f>$O$34/(Capacity_ExD!$O$30*12)</f>
        <v>38.568174118226786</v>
      </c>
      <c r="E61" s="55">
        <f>IFERROR(D61/C61-1,0)</f>
        <v>1.7069595971322813</v>
      </c>
    </row>
    <row r="63" spans="1:6" x14ac:dyDescent="0.25">
      <c r="A63" s="81" t="s">
        <v>592</v>
      </c>
      <c r="C63" s="82" t="str">
        <f>IF(D56&gt;C56,"TICKETS are the more profitable line","CALLS are the more profitable line")</f>
        <v>TICKETS are the more profitable line</v>
      </c>
    </row>
    <row r="64" spans="1:6" x14ac:dyDescent="0.25">
      <c r="A64" s="83" t="s">
        <v>593</v>
      </c>
    </row>
    <row r="65" spans="1:1" x14ac:dyDescent="0.25">
      <c r="A65" s="84" t="s">
        <v>594</v>
      </c>
    </row>
    <row r="66" spans="1:1" x14ac:dyDescent="0.25">
      <c r="A66" s="84" t="s">
        <v>595</v>
      </c>
    </row>
    <row r="67" spans="1:1" x14ac:dyDescent="0.25">
      <c r="A67" s="84" t="s">
        <v>596</v>
      </c>
    </row>
    <row r="68" spans="1:1" x14ac:dyDescent="0.25">
      <c r="A68" s="84" t="s">
        <v>597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Q2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7109375" defaultRowHeight="15" x14ac:dyDescent="0.25"/>
  <cols>
    <col min="1" max="1" width="4" customWidth="1"/>
    <col min="2" max="2" width="34" customWidth="1"/>
    <col min="3" max="3" width="52" customWidth="1"/>
    <col min="4" max="4" width="18" customWidth="1"/>
    <col min="5" max="6" width="10" customWidth="1"/>
    <col min="7" max="8" width="13" customWidth="1"/>
    <col min="9" max="10" width="9" customWidth="1"/>
    <col min="11" max="12" width="11" customWidth="1"/>
    <col min="13" max="13" width="14" customWidth="1"/>
    <col min="14" max="14" width="7" customWidth="1"/>
    <col min="15" max="15" width="8" customWidth="1"/>
    <col min="16" max="16" width="42" customWidth="1"/>
    <col min="17" max="17" width="13" customWidth="1"/>
  </cols>
  <sheetData>
    <row r="1" spans="1:17" ht="18" x14ac:dyDescent="0.25">
      <c r="A1" s="13" t="s">
        <v>598</v>
      </c>
    </row>
    <row r="2" spans="1:17" x14ac:dyDescent="0.25">
      <c r="A2" s="4" t="s">
        <v>599</v>
      </c>
    </row>
    <row r="5" spans="1:17" ht="42" customHeight="1" x14ac:dyDescent="0.25">
      <c r="A5" s="85" t="s">
        <v>301</v>
      </c>
      <c r="B5" s="85" t="s">
        <v>600</v>
      </c>
      <c r="C5" s="85" t="s">
        <v>601</v>
      </c>
      <c r="D5" s="85" t="s">
        <v>602</v>
      </c>
      <c r="E5" s="85" t="s">
        <v>603</v>
      </c>
      <c r="F5" s="85" t="s">
        <v>604</v>
      </c>
      <c r="G5" s="85" t="s">
        <v>605</v>
      </c>
      <c r="H5" s="85" t="s">
        <v>606</v>
      </c>
      <c r="I5" s="85" t="s">
        <v>607</v>
      </c>
      <c r="J5" s="85" t="s">
        <v>608</v>
      </c>
      <c r="K5" s="85" t="s">
        <v>609</v>
      </c>
      <c r="L5" s="85" t="s">
        <v>610</v>
      </c>
      <c r="M5" s="85" t="s">
        <v>611</v>
      </c>
      <c r="N5" s="85" t="s">
        <v>612</v>
      </c>
      <c r="O5" s="85" t="s">
        <v>613</v>
      </c>
      <c r="P5" s="85" t="s">
        <v>614</v>
      </c>
      <c r="Q5" s="85" t="s">
        <v>615</v>
      </c>
    </row>
    <row r="6" spans="1:17" ht="61.5" customHeight="1" x14ac:dyDescent="0.25">
      <c r="A6" s="86">
        <v>1</v>
      </c>
      <c r="B6" s="87" t="s">
        <v>616</v>
      </c>
      <c r="C6" s="86" t="s">
        <v>617</v>
      </c>
      <c r="D6" s="86" t="s">
        <v>618</v>
      </c>
      <c r="E6" s="88">
        <f>Assumptions!$C$6</f>
        <v>75</v>
      </c>
      <c r="F6" s="89">
        <v>68</v>
      </c>
      <c r="G6" s="90">
        <f>-(UnitEcon!$O$12+UnitEcon!$O$13+UnitEcon!$O$16)</f>
        <v>104569.96716828646</v>
      </c>
      <c r="H6" s="90">
        <f>G6*(1-F6/E6)</f>
        <v>9759.863602373407</v>
      </c>
      <c r="I6" s="91">
        <v>4</v>
      </c>
      <c r="J6" s="90">
        <f t="shared" ref="J6:J13" si="0">MAX(0,12-I6)</f>
        <v>8</v>
      </c>
      <c r="K6" s="91">
        <v>1200</v>
      </c>
      <c r="L6" s="91">
        <v>60</v>
      </c>
      <c r="M6" s="92">
        <f t="shared" ref="M6:M13" si="1">H6*J6/12-K6-L6*J6</f>
        <v>4826.5757349156047</v>
      </c>
      <c r="N6" s="90">
        <f t="shared" ref="N6:N13" si="2">RANK(M6,$M$6:$M$13,0)</f>
        <v>1</v>
      </c>
      <c r="O6" s="93" t="str">
        <f t="shared" ref="O6:O13" si="3">IF(I6&lt;=3,"Yes","No")</f>
        <v>No</v>
      </c>
      <c r="P6" s="86" t="s">
        <v>619</v>
      </c>
      <c r="Q6" s="86" t="s">
        <v>620</v>
      </c>
    </row>
    <row r="7" spans="1:17" ht="61.5" customHeight="1" x14ac:dyDescent="0.25">
      <c r="A7" s="86">
        <v>2</v>
      </c>
      <c r="B7" s="87" t="s">
        <v>621</v>
      </c>
      <c r="C7" s="86" t="s">
        <v>622</v>
      </c>
      <c r="D7" s="86" t="s">
        <v>623</v>
      </c>
      <c r="E7" s="94">
        <f>Assumptions!$C$11</f>
        <v>0.3</v>
      </c>
      <c r="F7" s="95">
        <v>0.27</v>
      </c>
      <c r="G7" s="90">
        <f>(Costs!$O$22+Costs!$O$23+Costs!$O$24+Costs!$O$25+Costs!$O$26+Costs!$O$36-Costs!$O$34-Costs!$O$35+Costs!$O$40+Costs!$O$45)</f>
        <v>137997.51832073732</v>
      </c>
      <c r="H7" s="90">
        <f>G7*(1-(1-E7)/(1-F7))</f>
        <v>5671.1308898933221</v>
      </c>
      <c r="I7" s="91">
        <v>2</v>
      </c>
      <c r="J7" s="90">
        <f t="shared" si="0"/>
        <v>10</v>
      </c>
      <c r="K7" s="91">
        <v>300</v>
      </c>
      <c r="L7" s="91">
        <v>40</v>
      </c>
      <c r="M7" s="92">
        <f t="shared" si="1"/>
        <v>4025.9424082444348</v>
      </c>
      <c r="N7" s="90">
        <f t="shared" si="2"/>
        <v>2</v>
      </c>
      <c r="O7" s="93" t="str">
        <f t="shared" si="3"/>
        <v>Yes</v>
      </c>
      <c r="P7" s="86" t="s">
        <v>624</v>
      </c>
      <c r="Q7" s="86" t="s">
        <v>506</v>
      </c>
    </row>
    <row r="8" spans="1:17" ht="61.5" customHeight="1" x14ac:dyDescent="0.25">
      <c r="A8" s="86">
        <v>3</v>
      </c>
      <c r="B8" s="87" t="s">
        <v>625</v>
      </c>
      <c r="C8" s="86" t="s">
        <v>626</v>
      </c>
      <c r="D8" s="86" t="s">
        <v>627</v>
      </c>
      <c r="E8" s="94">
        <f>Assumptions!$C$10</f>
        <v>0.78</v>
      </c>
      <c r="F8" s="95">
        <v>0.81</v>
      </c>
      <c r="G8" s="90">
        <f>-(UnitEcon!$O$12+UnitEcon!$O$13+UnitEcon!$O$16)</f>
        <v>104569.96716828646</v>
      </c>
      <c r="H8" s="90">
        <f>G8*(1-E8/F8)</f>
        <v>3872.9617469735781</v>
      </c>
      <c r="I8" s="91">
        <v>3</v>
      </c>
      <c r="J8" s="90">
        <f t="shared" si="0"/>
        <v>9</v>
      </c>
      <c r="K8" s="91">
        <v>150</v>
      </c>
      <c r="L8" s="91">
        <v>20</v>
      </c>
      <c r="M8" s="92">
        <f t="shared" si="1"/>
        <v>2574.7213102301835</v>
      </c>
      <c r="N8" s="90">
        <f t="shared" si="2"/>
        <v>3</v>
      </c>
      <c r="O8" s="93" t="str">
        <f t="shared" si="3"/>
        <v>Yes</v>
      </c>
      <c r="P8" s="86" t="s">
        <v>628</v>
      </c>
      <c r="Q8" s="86" t="s">
        <v>506</v>
      </c>
    </row>
    <row r="9" spans="1:17" ht="61.5" customHeight="1" x14ac:dyDescent="0.25">
      <c r="A9" s="86">
        <v>4</v>
      </c>
      <c r="B9" s="87" t="s">
        <v>629</v>
      </c>
      <c r="C9" s="86" t="s">
        <v>630</v>
      </c>
      <c r="D9" s="86" t="s">
        <v>631</v>
      </c>
      <c r="E9" s="96">
        <f>Capacity_ExD!$O$58</f>
        <v>141</v>
      </c>
      <c r="F9" s="90">
        <f>ROUNDUP(MAX(Capacity_ExD!$C$57:$H$57)*(1+Assumptions!$C$30),0)</f>
        <v>97</v>
      </c>
      <c r="G9" s="96">
        <f>Costs!$O$49</f>
        <v>13536</v>
      </c>
      <c r="H9" s="90">
        <f>(E9-F9)*Assumptions!$C$56*6</f>
        <v>2112</v>
      </c>
      <c r="I9" s="91">
        <v>1</v>
      </c>
      <c r="J9" s="90">
        <f t="shared" si="0"/>
        <v>11</v>
      </c>
      <c r="K9" s="91">
        <v>50</v>
      </c>
      <c r="L9" s="91">
        <v>0</v>
      </c>
      <c r="M9" s="92">
        <f t="shared" si="1"/>
        <v>1886</v>
      </c>
      <c r="N9" s="90">
        <f t="shared" si="2"/>
        <v>4</v>
      </c>
      <c r="O9" s="93" t="str">
        <f t="shared" si="3"/>
        <v>Yes</v>
      </c>
      <c r="P9" s="86" t="s">
        <v>632</v>
      </c>
      <c r="Q9" s="86" t="s">
        <v>633</v>
      </c>
    </row>
    <row r="10" spans="1:17" ht="61.5" customHeight="1" x14ac:dyDescent="0.25">
      <c r="A10" s="86">
        <v>5</v>
      </c>
      <c r="B10" s="87" t="s">
        <v>634</v>
      </c>
      <c r="C10" s="86" t="s">
        <v>635</v>
      </c>
      <c r="D10" s="86" t="s">
        <v>636</v>
      </c>
      <c r="E10" s="88">
        <f>Assumptions!$C$13</f>
        <v>15</v>
      </c>
      <c r="F10" s="89">
        <v>18</v>
      </c>
      <c r="G10" s="96">
        <f>Costs!$O$25</f>
        <v>14030</v>
      </c>
      <c r="H10" s="90">
        <f>G10*(1-E10/F10)</f>
        <v>2338.333333333333</v>
      </c>
      <c r="I10" s="91">
        <v>3</v>
      </c>
      <c r="J10" s="90">
        <f t="shared" si="0"/>
        <v>9</v>
      </c>
      <c r="K10" s="91">
        <v>0</v>
      </c>
      <c r="L10" s="91">
        <v>0</v>
      </c>
      <c r="M10" s="92">
        <f t="shared" si="1"/>
        <v>1753.7499999999998</v>
      </c>
      <c r="N10" s="90">
        <f t="shared" si="2"/>
        <v>5</v>
      </c>
      <c r="O10" s="93" t="str">
        <f t="shared" si="3"/>
        <v>Yes</v>
      </c>
      <c r="P10" s="86" t="s">
        <v>637</v>
      </c>
      <c r="Q10" s="86" t="s">
        <v>505</v>
      </c>
    </row>
    <row r="11" spans="1:17" ht="61.5" customHeight="1" x14ac:dyDescent="0.25">
      <c r="A11" s="86">
        <v>6</v>
      </c>
      <c r="B11" s="87" t="s">
        <v>638</v>
      </c>
      <c r="C11" s="86" t="s">
        <v>639</v>
      </c>
      <c r="D11" s="86" t="s">
        <v>640</v>
      </c>
      <c r="E11" s="97">
        <f>0</f>
        <v>0</v>
      </c>
      <c r="F11" s="95">
        <v>0.15</v>
      </c>
      <c r="G11" s="90">
        <f>Costs!$O$42+Costs!$O$43+Costs!$O$44+Costs!$O$45+Costs!$O$46</f>
        <v>8793.0769378403238</v>
      </c>
      <c r="H11" s="90">
        <f>G11*F11</f>
        <v>1318.9615406760486</v>
      </c>
      <c r="I11" s="91">
        <v>3</v>
      </c>
      <c r="J11" s="90">
        <f t="shared" si="0"/>
        <v>9</v>
      </c>
      <c r="K11" s="91">
        <v>100</v>
      </c>
      <c r="L11" s="91">
        <v>0</v>
      </c>
      <c r="M11" s="92">
        <f t="shared" si="1"/>
        <v>889.22115550703654</v>
      </c>
      <c r="N11" s="90">
        <f t="shared" si="2"/>
        <v>6</v>
      </c>
      <c r="O11" s="93" t="str">
        <f t="shared" si="3"/>
        <v>Yes</v>
      </c>
      <c r="P11" s="86" t="s">
        <v>641</v>
      </c>
      <c r="Q11" s="86" t="s">
        <v>642</v>
      </c>
    </row>
    <row r="12" spans="1:17" ht="61.5" customHeight="1" x14ac:dyDescent="0.25">
      <c r="A12" s="86">
        <v>7</v>
      </c>
      <c r="B12" s="87" t="s">
        <v>643</v>
      </c>
      <c r="C12" s="86" t="s">
        <v>644</v>
      </c>
      <c r="D12" s="86" t="s">
        <v>645</v>
      </c>
      <c r="E12" s="97">
        <f>1</f>
        <v>1</v>
      </c>
      <c r="F12" s="95">
        <v>0.3</v>
      </c>
      <c r="G12" s="96">
        <f>Costs!$O$23</f>
        <v>1612.1035476868849</v>
      </c>
      <c r="H12" s="90">
        <f>G12*(1-F12/E12)</f>
        <v>1128.4724833808193</v>
      </c>
      <c r="I12" s="91">
        <v>1</v>
      </c>
      <c r="J12" s="90">
        <f t="shared" si="0"/>
        <v>11</v>
      </c>
      <c r="K12" s="91">
        <v>0</v>
      </c>
      <c r="L12" s="91">
        <v>25</v>
      </c>
      <c r="M12" s="92">
        <f t="shared" si="1"/>
        <v>759.43310976575117</v>
      </c>
      <c r="N12" s="90">
        <f t="shared" si="2"/>
        <v>7</v>
      </c>
      <c r="O12" s="93" t="str">
        <f t="shared" si="3"/>
        <v>Yes</v>
      </c>
      <c r="P12" s="86" t="s">
        <v>646</v>
      </c>
      <c r="Q12" s="86" t="s">
        <v>647</v>
      </c>
    </row>
    <row r="13" spans="1:17" ht="61.5" customHeight="1" x14ac:dyDescent="0.25">
      <c r="A13" s="86">
        <v>8</v>
      </c>
      <c r="B13" s="87" t="s">
        <v>648</v>
      </c>
      <c r="C13" s="86" t="s">
        <v>649</v>
      </c>
      <c r="D13" s="86" t="s">
        <v>650</v>
      </c>
      <c r="E13" s="88">
        <f>Assumptions!$C$15</f>
        <v>40</v>
      </c>
      <c r="F13" s="89">
        <v>80</v>
      </c>
      <c r="G13" s="96">
        <f>Costs!$O$26</f>
        <v>2330.1999999999998</v>
      </c>
      <c r="H13" s="90">
        <f>G13*(1-E13/F13)</f>
        <v>1165.0999999999999</v>
      </c>
      <c r="I13" s="91">
        <v>4</v>
      </c>
      <c r="J13" s="90">
        <f t="shared" si="0"/>
        <v>8</v>
      </c>
      <c r="K13" s="91">
        <v>300</v>
      </c>
      <c r="L13" s="91">
        <v>30</v>
      </c>
      <c r="M13" s="92">
        <f t="shared" si="1"/>
        <v>236.73333333333323</v>
      </c>
      <c r="N13" s="90">
        <f t="shared" si="2"/>
        <v>8</v>
      </c>
      <c r="O13" s="93" t="str">
        <f t="shared" si="3"/>
        <v>No</v>
      </c>
      <c r="P13" s="86" t="s">
        <v>651</v>
      </c>
      <c r="Q13" s="86" t="s">
        <v>508</v>
      </c>
    </row>
    <row r="14" spans="1:17" x14ac:dyDescent="0.25">
      <c r="A14" s="77"/>
      <c r="B14" s="75" t="s">
        <v>652</v>
      </c>
      <c r="C14" s="77"/>
      <c r="D14" s="77"/>
      <c r="E14" s="77"/>
      <c r="F14" s="77"/>
      <c r="G14" s="77"/>
      <c r="H14" s="61">
        <f>SUM(H6:H13)</f>
        <v>27366.823596630504</v>
      </c>
      <c r="I14" s="77"/>
      <c r="J14" s="77"/>
      <c r="K14" s="61">
        <f>SUM(K6:K13)</f>
        <v>2100</v>
      </c>
      <c r="L14" s="77"/>
      <c r="M14" s="61">
        <f>SUM(M6:M13)</f>
        <v>16952.377051996344</v>
      </c>
      <c r="N14" s="77"/>
      <c r="O14" s="77"/>
      <c r="P14" s="77"/>
      <c r="Q14" s="77"/>
    </row>
    <row r="15" spans="1:17" x14ac:dyDescent="0.25">
      <c r="B15" s="14" t="s">
        <v>653</v>
      </c>
      <c r="L15" s="31">
        <v>0.15</v>
      </c>
      <c r="M15" s="56">
        <f>-M14*L15</f>
        <v>-2542.8565577994514</v>
      </c>
    </row>
    <row r="16" spans="1:17" x14ac:dyDescent="0.25">
      <c r="B16" s="18" t="s">
        <v>654</v>
      </c>
      <c r="M16" s="98">
        <f>M14+M15</f>
        <v>14409.520494196891</v>
      </c>
    </row>
    <row r="17" spans="2:13" x14ac:dyDescent="0.25">
      <c r="B17" s="14" t="s">
        <v>655</v>
      </c>
      <c r="M17" s="20">
        <f>PnL_ExE!$O$35</f>
        <v>26561.854504126568</v>
      </c>
    </row>
    <row r="18" spans="2:13" x14ac:dyDescent="0.25">
      <c r="B18" s="18" t="s">
        <v>656</v>
      </c>
      <c r="M18" s="78">
        <f>(M17+M16)/PnL_ExE!$O$9</f>
        <v>0.20077700592051018</v>
      </c>
    </row>
    <row r="19" spans="2:13" x14ac:dyDescent="0.25">
      <c r="B19" s="14" t="s">
        <v>657</v>
      </c>
      <c r="M19" s="21">
        <f>PnL_ExE!$O$36</f>
        <v>0.13016428223980708</v>
      </c>
    </row>
    <row r="20" spans="2:13" x14ac:dyDescent="0.25">
      <c r="B20" s="14" t="s">
        <v>658</v>
      </c>
      <c r="M20" s="56">
        <f>COUNTIF(O6:O13,"Yes")</f>
        <v>6</v>
      </c>
    </row>
    <row r="22" spans="2:13" x14ac:dyDescent="0.25">
      <c r="B22" s="83" t="s">
        <v>659</v>
      </c>
    </row>
    <row r="23" spans="2:13" x14ac:dyDescent="0.25">
      <c r="B23" s="84" t="s">
        <v>660</v>
      </c>
    </row>
    <row r="24" spans="2:13" x14ac:dyDescent="0.25">
      <c r="B24" s="84" t="s">
        <v>661</v>
      </c>
    </row>
    <row r="25" spans="2:13" x14ac:dyDescent="0.25">
      <c r="B25" s="84" t="s">
        <v>662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J2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32" customWidth="1"/>
    <col min="2" max="2" width="13" customWidth="1"/>
    <col min="3" max="3" width="10" customWidth="1"/>
    <col min="4" max="4" width="12" customWidth="1"/>
    <col min="5" max="5" width="32" customWidth="1"/>
    <col min="6" max="6" width="20" customWidth="1"/>
    <col min="7" max="7" width="50" customWidth="1"/>
    <col min="8" max="8" width="16" customWidth="1"/>
    <col min="9" max="9" width="11" customWidth="1"/>
    <col min="10" max="10" width="13" customWidth="1"/>
  </cols>
  <sheetData>
    <row r="1" spans="1:10" ht="18" x14ac:dyDescent="0.25">
      <c r="A1" s="13" t="s">
        <v>663</v>
      </c>
    </row>
    <row r="2" spans="1:10" x14ac:dyDescent="0.25">
      <c r="A2" s="4" t="s">
        <v>664</v>
      </c>
    </row>
    <row r="4" spans="1:10" ht="30" customHeight="1" x14ac:dyDescent="0.25">
      <c r="A4" s="99" t="s">
        <v>665</v>
      </c>
      <c r="B4" s="99" t="s">
        <v>666</v>
      </c>
      <c r="C4" s="99" t="s">
        <v>265</v>
      </c>
      <c r="D4" s="99" t="s">
        <v>667</v>
      </c>
      <c r="E4" s="99" t="s">
        <v>668</v>
      </c>
      <c r="F4" s="99" t="s">
        <v>669</v>
      </c>
      <c r="G4" s="99" t="s">
        <v>670</v>
      </c>
      <c r="H4" s="99" t="s">
        <v>671</v>
      </c>
      <c r="I4" s="99" t="s">
        <v>672</v>
      </c>
      <c r="J4" s="99" t="s">
        <v>615</v>
      </c>
    </row>
    <row r="5" spans="1:10" ht="25.5" customHeight="1" x14ac:dyDescent="0.25">
      <c r="A5" s="19" t="s">
        <v>504</v>
      </c>
      <c r="B5" s="56">
        <f>-PnL_ExE!$O$11</f>
        <v>94505.230097352498</v>
      </c>
      <c r="C5" s="55">
        <f>B5/PnL_ExE!$O$9</f>
        <v>0.46311545911143454</v>
      </c>
      <c r="D5" s="56">
        <f>B5*1000000/(PnL_ExE!$O$46+PnL_ExE!$O$47)</f>
        <v>12018.367385272591</v>
      </c>
      <c r="E5" s="86" t="s">
        <v>673</v>
      </c>
      <c r="F5" s="86" t="s">
        <v>674</v>
      </c>
      <c r="G5" s="86" t="s">
        <v>675</v>
      </c>
      <c r="H5" s="87" t="s">
        <v>676</v>
      </c>
      <c r="I5" s="86" t="s">
        <v>677</v>
      </c>
      <c r="J5" s="100" t="str">
        <f>PnL_ExE!$B$11</f>
        <v>Operations</v>
      </c>
    </row>
    <row r="6" spans="1:10" ht="25.5" customHeight="1" x14ac:dyDescent="0.25">
      <c r="A6" s="19" t="s">
        <v>678</v>
      </c>
      <c r="B6" s="56">
        <f>-PnL_ExE!$O$12</f>
        <v>1612.1035476868849</v>
      </c>
      <c r="C6" s="55">
        <f>B6/PnL_ExE!$O$9</f>
        <v>7.899986845734364E-3</v>
      </c>
      <c r="D6" s="56">
        <f>B6*1000000/(PnL_ExE!$O$46+PnL_ExE!$O$47)</f>
        <v>205.01354982410723</v>
      </c>
      <c r="E6" s="86" t="s">
        <v>679</v>
      </c>
      <c r="F6" s="86" t="s">
        <v>680</v>
      </c>
      <c r="G6" s="86" t="s">
        <v>681</v>
      </c>
      <c r="H6" s="87" t="s">
        <v>682</v>
      </c>
      <c r="I6" s="86" t="s">
        <v>683</v>
      </c>
      <c r="J6" s="100" t="str">
        <f>PnL_ExE!$B$12</f>
        <v>WFM</v>
      </c>
    </row>
    <row r="7" spans="1:10" ht="25.5" customHeight="1" x14ac:dyDescent="0.25">
      <c r="A7" s="19" t="s">
        <v>460</v>
      </c>
      <c r="B7" s="56">
        <f>-PnL_ExE!$O$13</f>
        <v>2913.3155208333333</v>
      </c>
      <c r="C7" s="55">
        <f>B7/PnL_ExE!$O$9</f>
        <v>1.4276473943054228E-2</v>
      </c>
      <c r="D7" s="56">
        <f>B7*1000000/(PnL_ExE!$O$46+PnL_ExE!$O$47)</f>
        <v>370.4905665276259</v>
      </c>
      <c r="E7" s="86" t="s">
        <v>684</v>
      </c>
      <c r="F7" s="86" t="s">
        <v>685</v>
      </c>
      <c r="G7" s="86" t="s">
        <v>686</v>
      </c>
      <c r="H7" s="87" t="s">
        <v>687</v>
      </c>
      <c r="I7" s="86" t="s">
        <v>683</v>
      </c>
      <c r="J7" s="100" t="str">
        <f>PnL_ExE!$B$13</f>
        <v>WFM</v>
      </c>
    </row>
    <row r="8" spans="1:10" ht="25.5" customHeight="1" x14ac:dyDescent="0.25">
      <c r="A8" s="19" t="s">
        <v>461</v>
      </c>
      <c r="B8" s="56">
        <f>-PnL_ExE!$O$14</f>
        <v>14030</v>
      </c>
      <c r="C8" s="55">
        <f>B8/PnL_ExE!$O$9</f>
        <v>6.8752913300567153E-2</v>
      </c>
      <c r="D8" s="56">
        <f>B8*1000000/(PnL_ExE!$O$46+PnL_ExE!$O$47)</f>
        <v>1784.2154793092047</v>
      </c>
      <c r="E8" s="86" t="s">
        <v>688</v>
      </c>
      <c r="F8" s="86" t="s">
        <v>689</v>
      </c>
      <c r="G8" s="86" t="s">
        <v>690</v>
      </c>
      <c r="H8" s="87" t="s">
        <v>676</v>
      </c>
      <c r="I8" s="86" t="s">
        <v>691</v>
      </c>
      <c r="J8" s="100" t="str">
        <f>PnL_ExE!$B$14</f>
        <v>Operations</v>
      </c>
    </row>
    <row r="9" spans="1:10" ht="25.5" customHeight="1" x14ac:dyDescent="0.25">
      <c r="A9" s="19" t="s">
        <v>122</v>
      </c>
      <c r="B9" s="56">
        <f>-PnL_ExE!$O$15</f>
        <v>2330.1999999999998</v>
      </c>
      <c r="C9" s="55">
        <f>B9/PnL_ExE!$O$9</f>
        <v>1.1418962122094197E-2</v>
      </c>
      <c r="D9" s="56">
        <f>B9*1000000/(PnL_ExE!$O$46+PnL_ExE!$O$47)</f>
        <v>296.3349187374418</v>
      </c>
      <c r="E9" s="86" t="s">
        <v>692</v>
      </c>
      <c r="F9" s="86" t="s">
        <v>693</v>
      </c>
      <c r="G9" s="86" t="s">
        <v>694</v>
      </c>
      <c r="H9" s="87" t="s">
        <v>676</v>
      </c>
      <c r="I9" s="86" t="s">
        <v>695</v>
      </c>
      <c r="J9" s="100" t="str">
        <f>PnL_ExE!$B$15</f>
        <v>Quality</v>
      </c>
    </row>
    <row r="10" spans="1:10" ht="25.5" customHeight="1" x14ac:dyDescent="0.25">
      <c r="A10" s="19" t="s">
        <v>509</v>
      </c>
      <c r="B10" s="56">
        <f>-PnL_ExE!$O$16</f>
        <v>3112.0899999999997</v>
      </c>
      <c r="C10" s="55">
        <f>B10/PnL_ExE!$O$9</f>
        <v>1.5250552669534E-2</v>
      </c>
      <c r="D10" s="56">
        <f>B10*1000000/(PnL_ExE!$O$46+PnL_ExE!$O$47)</f>
        <v>395.7690057735839</v>
      </c>
      <c r="E10" s="86" t="s">
        <v>696</v>
      </c>
      <c r="F10" s="86" t="s">
        <v>674</v>
      </c>
      <c r="G10" s="86" t="s">
        <v>697</v>
      </c>
      <c r="H10" s="87" t="s">
        <v>698</v>
      </c>
      <c r="I10" s="86" t="s">
        <v>699</v>
      </c>
      <c r="J10" s="100" t="str">
        <f>PnL_ExE!$B$16</f>
        <v>IT</v>
      </c>
    </row>
    <row r="11" spans="1:10" ht="25.5" customHeight="1" x14ac:dyDescent="0.25">
      <c r="A11" s="19" t="s">
        <v>700</v>
      </c>
      <c r="B11" s="56">
        <f>-PnL_ExE!$O$17</f>
        <v>3678.4869378403232</v>
      </c>
      <c r="C11" s="55">
        <f>B11/PnL_ExE!$O$9</f>
        <v>1.8026136387355989E-2</v>
      </c>
      <c r="D11" s="56">
        <f>B11*1000000/(PnL_ExE!$O$46+PnL_ExE!$O$47)</f>
        <v>467.79852707993018</v>
      </c>
      <c r="E11" s="86" t="s">
        <v>701</v>
      </c>
      <c r="F11" s="86" t="s">
        <v>689</v>
      </c>
      <c r="G11" s="86" t="s">
        <v>702</v>
      </c>
      <c r="H11" s="87" t="s">
        <v>698</v>
      </c>
      <c r="I11" s="86" t="s">
        <v>699</v>
      </c>
      <c r="J11" s="100" t="str">
        <f>PnL_ExE!$B$17</f>
        <v>IT</v>
      </c>
    </row>
    <row r="12" spans="1:10" ht="25.5" customHeight="1" x14ac:dyDescent="0.25">
      <c r="A12" s="19" t="s">
        <v>515</v>
      </c>
      <c r="B12" s="56">
        <f>-PnL_ExE!$O$22</f>
        <v>5032.5</v>
      </c>
      <c r="C12" s="55">
        <f>B12/PnL_ExE!$O$9</f>
        <v>2.4661371075203439E-2</v>
      </c>
      <c r="D12" s="56">
        <f>B12*1000000/(PnL_ExE!$O$46+PnL_ExE!$O$47)</f>
        <v>639.99033496960601</v>
      </c>
      <c r="E12" s="86" t="s">
        <v>703</v>
      </c>
      <c r="F12" s="86" t="s">
        <v>689</v>
      </c>
      <c r="G12" s="86" t="s">
        <v>704</v>
      </c>
      <c r="H12" s="87" t="s">
        <v>705</v>
      </c>
      <c r="I12" s="86"/>
      <c r="J12" s="100" t="str">
        <f>PnL_ExE!$B$22</f>
        <v>Operations</v>
      </c>
    </row>
    <row r="13" spans="1:10" ht="25.5" customHeight="1" x14ac:dyDescent="0.25">
      <c r="A13" s="19" t="s">
        <v>465</v>
      </c>
      <c r="B13" s="56">
        <f>-PnL_ExE!$O$23</f>
        <v>2433.8999999999996</v>
      </c>
      <c r="C13" s="55">
        <f>B13/PnL_ExE!$O$9</f>
        <v>1.1927135829098387E-2</v>
      </c>
      <c r="D13" s="56">
        <f>B13*1000000/(PnL_ExE!$O$46+PnL_ExE!$O$47)</f>
        <v>309.52259836711846</v>
      </c>
      <c r="E13" s="86" t="s">
        <v>706</v>
      </c>
      <c r="F13" s="86" t="s">
        <v>707</v>
      </c>
      <c r="G13" s="86" t="s">
        <v>708</v>
      </c>
      <c r="H13" s="87" t="s">
        <v>709</v>
      </c>
      <c r="I13" s="86" t="s">
        <v>710</v>
      </c>
      <c r="J13" s="100" t="str">
        <f>PnL_ExE!$B$23</f>
        <v>WFM</v>
      </c>
    </row>
    <row r="14" spans="1:10" ht="25.5" customHeight="1" x14ac:dyDescent="0.25">
      <c r="A14" s="19" t="s">
        <v>466</v>
      </c>
      <c r="B14" s="56">
        <f>-PnL_ExE!$O$24</f>
        <v>2452.1999999999998</v>
      </c>
      <c r="C14" s="55">
        <f>B14/PnL_ExE!$O$9</f>
        <v>1.2016813542099129E-2</v>
      </c>
      <c r="D14" s="56">
        <f>B14*1000000/(PnL_ExE!$O$46+PnL_ExE!$O$47)</f>
        <v>311.84983594882618</v>
      </c>
      <c r="E14" s="86" t="s">
        <v>711</v>
      </c>
      <c r="F14" s="86" t="s">
        <v>689</v>
      </c>
      <c r="G14" s="86" t="s">
        <v>712</v>
      </c>
      <c r="H14" s="87" t="s">
        <v>713</v>
      </c>
      <c r="I14" s="86"/>
      <c r="J14" s="100" t="str">
        <f>PnL_ExE!$B$24</f>
        <v>Training</v>
      </c>
    </row>
    <row r="15" spans="1:10" ht="25.5" customHeight="1" x14ac:dyDescent="0.25">
      <c r="A15" s="19" t="s">
        <v>517</v>
      </c>
      <c r="B15" s="56">
        <f>-PnL_ExE!$O$25</f>
        <v>2781.6</v>
      </c>
      <c r="C15" s="55">
        <f>B15/PnL_ExE!$O$9</f>
        <v>1.3631012376112445E-2</v>
      </c>
      <c r="D15" s="56">
        <f>B15*1000000/(PnL_ExE!$O$46+PnL_ExE!$O$47)</f>
        <v>353.74011241956407</v>
      </c>
      <c r="E15" s="86" t="s">
        <v>706</v>
      </c>
      <c r="F15" s="86" t="s">
        <v>714</v>
      </c>
      <c r="G15" s="86" t="s">
        <v>715</v>
      </c>
      <c r="H15" s="87" t="s">
        <v>705</v>
      </c>
      <c r="I15" s="86"/>
      <c r="J15" s="100" t="str">
        <f>PnL_ExE!$B$25</f>
        <v>IT</v>
      </c>
    </row>
    <row r="16" spans="1:10" ht="25.5" customHeight="1" x14ac:dyDescent="0.25">
      <c r="A16" s="19" t="s">
        <v>518</v>
      </c>
      <c r="B16" s="56">
        <f>-PnL_ExE!$O$26</f>
        <v>1564.65</v>
      </c>
      <c r="C16" s="55">
        <f>B16/PnL_ExE!$O$9</f>
        <v>7.667444461563251E-3</v>
      </c>
      <c r="D16" s="56">
        <f>B16*1000000/(PnL_ExE!$O$46+PnL_ExE!$O$47)</f>
        <v>198.97881323600478</v>
      </c>
      <c r="E16" s="86" t="s">
        <v>706</v>
      </c>
      <c r="F16" s="86" t="s">
        <v>714</v>
      </c>
      <c r="G16" s="86" t="s">
        <v>716</v>
      </c>
      <c r="H16" s="87" t="s">
        <v>705</v>
      </c>
      <c r="I16" s="86"/>
      <c r="J16" s="100" t="str">
        <f>PnL_ExE!$B$26</f>
        <v>HR</v>
      </c>
    </row>
    <row r="17" spans="1:10" ht="25.5" customHeight="1" x14ac:dyDescent="0.25">
      <c r="A17" s="19" t="s">
        <v>717</v>
      </c>
      <c r="B17" s="56">
        <f>-PnL_ExE!$O$27</f>
        <v>4663.3322170242573</v>
      </c>
      <c r="C17" s="55">
        <f>B17/PnL_ExE!$O$9</f>
        <v>2.2852293343464745E-2</v>
      </c>
      <c r="D17" s="56">
        <f>B17*1000000/(PnL_ExE!$O$46+PnL_ExE!$O$47)</f>
        <v>593.0427317730572</v>
      </c>
      <c r="E17" s="86" t="s">
        <v>718</v>
      </c>
      <c r="F17" s="86" t="s">
        <v>719</v>
      </c>
      <c r="G17" s="86" t="s">
        <v>720</v>
      </c>
      <c r="H17" s="87" t="s">
        <v>721</v>
      </c>
      <c r="I17" s="86" t="s">
        <v>683</v>
      </c>
      <c r="J17" s="100" t="str">
        <f>PnL_ExE!$B$27</f>
        <v>HR</v>
      </c>
    </row>
    <row r="18" spans="1:10" ht="25.5" customHeight="1" x14ac:dyDescent="0.25">
      <c r="A18" s="19" t="s">
        <v>722</v>
      </c>
      <c r="B18" s="56">
        <f>-PnL_ExE!$O$28</f>
        <v>16197.1</v>
      </c>
      <c r="C18" s="55">
        <f>B18/PnL_ExE!$O$9</f>
        <v>7.9372616680015426E-2</v>
      </c>
      <c r="D18" s="56">
        <f>B18*1000000/(PnL_ExE!$O$46+PnL_ExE!$O$47)</f>
        <v>2059.8087341353612</v>
      </c>
      <c r="E18" s="86" t="s">
        <v>723</v>
      </c>
      <c r="F18" s="86" t="s">
        <v>724</v>
      </c>
      <c r="G18" s="86" t="s">
        <v>725</v>
      </c>
      <c r="H18" s="87" t="s">
        <v>726</v>
      </c>
      <c r="I18" s="86" t="s">
        <v>727</v>
      </c>
      <c r="J18" s="100" t="str">
        <f>PnL_ExE!$B$28</f>
        <v>Admin</v>
      </c>
    </row>
    <row r="19" spans="1:10" ht="25.5" customHeight="1" x14ac:dyDescent="0.25">
      <c r="A19" s="19" t="s">
        <v>523</v>
      </c>
      <c r="B19" s="56">
        <f>-PnL_ExE!$O$29</f>
        <v>2002.5</v>
      </c>
      <c r="C19" s="55">
        <f>B19/PnL_ExE!$O$9</f>
        <v>9.8130940045891481E-3</v>
      </c>
      <c r="D19" s="56">
        <f>B19*1000000/(PnL_ExE!$O$46+PnL_ExE!$O$47)</f>
        <v>254.66083373604295</v>
      </c>
      <c r="E19" s="86" t="s">
        <v>128</v>
      </c>
      <c r="F19" s="86" t="s">
        <v>128</v>
      </c>
      <c r="G19" s="86" t="s">
        <v>728</v>
      </c>
      <c r="H19" s="87" t="s">
        <v>698</v>
      </c>
      <c r="I19" s="86" t="s">
        <v>699</v>
      </c>
      <c r="J19" s="100" t="str">
        <f>PnL_ExE!$B$29</f>
        <v>IT</v>
      </c>
    </row>
    <row r="20" spans="1:10" ht="25.5" customHeight="1" x14ac:dyDescent="0.25">
      <c r="A20" s="19" t="s">
        <v>524</v>
      </c>
      <c r="B20" s="56">
        <f>-PnL_ExE!$O$30</f>
        <v>6084.75</v>
      </c>
      <c r="C20" s="55">
        <f>B20/PnL_ExE!$O$9</f>
        <v>2.9817839572745974E-2</v>
      </c>
      <c r="D20" s="56">
        <f>B20*1000000/(PnL_ExE!$O$46+PnL_ExE!$O$47)</f>
        <v>773.80649591779638</v>
      </c>
      <c r="E20" s="86" t="s">
        <v>128</v>
      </c>
      <c r="F20" s="86" t="s">
        <v>729</v>
      </c>
      <c r="G20" s="86" t="s">
        <v>730</v>
      </c>
      <c r="H20" s="87" t="s">
        <v>705</v>
      </c>
      <c r="I20" s="86"/>
      <c r="J20" s="100" t="str">
        <f>PnL_ExE!$B$30</f>
        <v>Site director</v>
      </c>
    </row>
    <row r="21" spans="1:10" ht="25.5" customHeight="1" x14ac:dyDescent="0.25">
      <c r="A21" s="19" t="s">
        <v>469</v>
      </c>
      <c r="B21" s="56">
        <f>-PnL_ExE!$O$31</f>
        <v>4172.3999999999996</v>
      </c>
      <c r="C21" s="55">
        <f>B21/PnL_ExE!$O$9</f>
        <v>2.0446518564168667E-2</v>
      </c>
      <c r="D21" s="56">
        <f>B21*1000000/(PnL_ExE!$O$46+PnL_ExE!$O$47)</f>
        <v>530.61016862934605</v>
      </c>
      <c r="E21" s="86" t="s">
        <v>731</v>
      </c>
      <c r="F21" s="86" t="s">
        <v>707</v>
      </c>
      <c r="G21" s="86" t="s">
        <v>732</v>
      </c>
      <c r="H21" s="87" t="s">
        <v>705</v>
      </c>
      <c r="I21" s="86"/>
      <c r="J21" s="100" t="str">
        <f>PnL_ExE!$B$31</f>
        <v>Commercial</v>
      </c>
    </row>
    <row r="22" spans="1:10" ht="25.5" customHeight="1" x14ac:dyDescent="0.25">
      <c r="A22" s="19" t="s">
        <v>264</v>
      </c>
      <c r="B22" s="56">
        <f>-PnL_ExE!$O$32</f>
        <v>6121.9224000000004</v>
      </c>
      <c r="C22" s="55">
        <f>B22/PnL_ExE!$O$9</f>
        <v>3.0000000000000002E-2</v>
      </c>
      <c r="D22" s="56">
        <f>B22*1000000/(PnL_ExE!$O$46+PnL_ExE!$O$47)</f>
        <v>778.5337640206526</v>
      </c>
      <c r="E22" s="86" t="s">
        <v>265</v>
      </c>
      <c r="F22" s="86" t="s">
        <v>733</v>
      </c>
      <c r="G22" s="86" t="s">
        <v>734</v>
      </c>
      <c r="H22" s="87" t="s">
        <v>726</v>
      </c>
      <c r="I22" s="86"/>
      <c r="J22" s="100" t="str">
        <f>PnL_ExE!$B$32</f>
        <v>Finance</v>
      </c>
    </row>
    <row r="23" spans="1:10" ht="25.5" customHeight="1" x14ac:dyDescent="0.25">
      <c r="A23" s="19" t="s">
        <v>526</v>
      </c>
      <c r="B23" s="56">
        <f>-PnL_ExE!$O$33</f>
        <v>1813.9447751361292</v>
      </c>
      <c r="C23" s="55">
        <f>B23/PnL_ExE!$O$9</f>
        <v>8.8890939313578821E-3</v>
      </c>
      <c r="D23" s="56">
        <f>B23*1000000/(PnL_ExE!$O$46+PnL_ExE!$O$47)</f>
        <v>230.68199190377308</v>
      </c>
      <c r="E23" s="86" t="s">
        <v>735</v>
      </c>
      <c r="F23" s="86" t="s">
        <v>736</v>
      </c>
      <c r="G23" s="86" t="s">
        <v>737</v>
      </c>
      <c r="H23" s="87" t="s">
        <v>738</v>
      </c>
      <c r="I23" s="86"/>
      <c r="J23" s="100" t="str">
        <f>PnL_ExE!$B$33</f>
        <v>Finance</v>
      </c>
    </row>
    <row r="24" spans="1:10" x14ac:dyDescent="0.25">
      <c r="A24" s="75" t="s">
        <v>739</v>
      </c>
      <c r="B24" s="61">
        <f>SUM(B5:B23)</f>
        <v>177502.22549587343</v>
      </c>
      <c r="C24" s="76">
        <f>B24/PnL_ExE!$O$9</f>
        <v>0.86983571776019297</v>
      </c>
      <c r="D24" s="61">
        <f>B24*1000000/(PnL_ExE!$O$46+PnL_ExE!$O$47)</f>
        <v>22573.215847581632</v>
      </c>
      <c r="E24" s="77"/>
      <c r="F24" s="77"/>
      <c r="G24" s="77"/>
      <c r="H24" s="77"/>
      <c r="I24" s="77"/>
      <c r="J24" s="77"/>
    </row>
    <row r="25" spans="1:10" x14ac:dyDescent="0.25">
      <c r="A25" s="84" t="s">
        <v>740</v>
      </c>
      <c r="B25" s="43">
        <f>ROUND(B24+PnL_ExE!$O$18+PnL_ExE!$O$34,3)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5B6"/>
  </sheetPr>
  <dimension ref="A1:J25"/>
  <sheetViews>
    <sheetView showGridLines="0" zoomScaleNormal="100" workbookViewId="0">
      <selection activeCell="J24" sqref="J24"/>
    </sheetView>
  </sheetViews>
  <sheetFormatPr defaultColWidth="8.7109375" defaultRowHeight="15" x14ac:dyDescent="0.25"/>
  <cols>
    <col min="1" max="1" width="44" customWidth="1"/>
    <col min="2" max="5" width="14" customWidth="1"/>
    <col min="6" max="7" width="13" customWidth="1"/>
    <col min="8" max="10" width="12" customWidth="1"/>
  </cols>
  <sheetData>
    <row r="1" spans="1:10" ht="18" x14ac:dyDescent="0.25">
      <c r="A1" s="13" t="s">
        <v>741</v>
      </c>
    </row>
    <row r="2" spans="1:10" x14ac:dyDescent="0.25">
      <c r="A2" s="4" t="s">
        <v>742</v>
      </c>
    </row>
    <row r="4" spans="1:10" ht="24.75" x14ac:dyDescent="0.25">
      <c r="A4" s="101" t="s">
        <v>602</v>
      </c>
      <c r="B4" s="101" t="s">
        <v>743</v>
      </c>
      <c r="C4" s="101" t="s">
        <v>744</v>
      </c>
      <c r="D4" s="101" t="s">
        <v>745</v>
      </c>
      <c r="E4" s="101" t="s">
        <v>746</v>
      </c>
      <c r="F4" s="101" t="s">
        <v>747</v>
      </c>
      <c r="G4" s="101" t="s">
        <v>748</v>
      </c>
      <c r="H4" s="101" t="s">
        <v>749</v>
      </c>
      <c r="I4" s="101" t="s">
        <v>750</v>
      </c>
      <c r="J4" s="101" t="s">
        <v>751</v>
      </c>
    </row>
    <row r="5" spans="1:10" x14ac:dyDescent="0.25">
      <c r="A5" s="18" t="s">
        <v>752</v>
      </c>
      <c r="D5" s="15">
        <f>PnL_ExE!$O$35</f>
        <v>26561.854504126568</v>
      </c>
      <c r="E5" s="15">
        <f>PnL_ExE!$O$35</f>
        <v>26561.854504126568</v>
      </c>
      <c r="I5" s="16">
        <f>PnL_ExE!$O$36</f>
        <v>0.13016428223980708</v>
      </c>
    </row>
    <row r="6" spans="1:10" x14ac:dyDescent="0.25">
      <c r="A6" s="19" t="s">
        <v>753</v>
      </c>
      <c r="B6" s="34">
        <v>0.9</v>
      </c>
      <c r="C6" s="34">
        <v>1.1000000000000001</v>
      </c>
      <c r="D6" s="102">
        <v>7109.1</v>
      </c>
      <c r="E6" s="102">
        <v>46014.6</v>
      </c>
      <c r="F6" s="56">
        <f t="shared" ref="F6:F16" si="0">D6-$D$5</f>
        <v>-19452.754504126569</v>
      </c>
      <c r="G6" s="56">
        <f t="shared" ref="G6:G16" si="1">E6-$D$5</f>
        <v>19452.745495873431</v>
      </c>
      <c r="H6" s="48">
        <f t="shared" ref="H6:H16" si="2">ABS(E6-D6)</f>
        <v>38905.5</v>
      </c>
      <c r="I6" s="103">
        <v>3.8699999999999998E-2</v>
      </c>
      <c r="J6" s="103">
        <v>0.2051</v>
      </c>
    </row>
    <row r="7" spans="1:10" x14ac:dyDescent="0.25">
      <c r="A7" s="19" t="s">
        <v>754</v>
      </c>
      <c r="B7" s="26">
        <v>82</v>
      </c>
      <c r="C7" s="26">
        <v>68</v>
      </c>
      <c r="D7" s="102">
        <v>16194.6</v>
      </c>
      <c r="E7" s="102">
        <v>37358.6</v>
      </c>
      <c r="F7" s="56">
        <f t="shared" si="0"/>
        <v>-10367.254504126568</v>
      </c>
      <c r="G7" s="56">
        <f t="shared" si="1"/>
        <v>10796.745495873431</v>
      </c>
      <c r="H7" s="48">
        <f t="shared" si="2"/>
        <v>21164</v>
      </c>
      <c r="I7" s="103">
        <v>7.9399999999999998E-2</v>
      </c>
      <c r="J7" s="103">
        <v>0.18310000000000001</v>
      </c>
    </row>
    <row r="8" spans="1:10" x14ac:dyDescent="0.25">
      <c r="A8" s="19" t="s">
        <v>755</v>
      </c>
      <c r="B8" s="33">
        <v>55</v>
      </c>
      <c r="C8" s="33">
        <v>45</v>
      </c>
      <c r="D8" s="102">
        <v>16555.900000000001</v>
      </c>
      <c r="E8" s="102">
        <v>36567.800000000003</v>
      </c>
      <c r="F8" s="56">
        <f t="shared" si="0"/>
        <v>-10005.954504126566</v>
      </c>
      <c r="G8" s="56">
        <f t="shared" si="1"/>
        <v>10005.945495873435</v>
      </c>
      <c r="H8" s="48">
        <f t="shared" si="2"/>
        <v>20011.900000000001</v>
      </c>
      <c r="I8" s="103">
        <v>8.1100000000000005E-2</v>
      </c>
      <c r="J8" s="103">
        <v>0.1792</v>
      </c>
    </row>
    <row r="9" spans="1:10" x14ac:dyDescent="0.25">
      <c r="A9" s="19" t="s">
        <v>756</v>
      </c>
      <c r="B9" s="30">
        <v>0.15</v>
      </c>
      <c r="C9" s="30">
        <v>0.35</v>
      </c>
      <c r="D9" s="102">
        <v>36039.5</v>
      </c>
      <c r="E9" s="102">
        <v>17084.2</v>
      </c>
      <c r="F9" s="56">
        <f t="shared" si="0"/>
        <v>9477.6454958734321</v>
      </c>
      <c r="G9" s="56">
        <f t="shared" si="1"/>
        <v>-9477.6545041265672</v>
      </c>
      <c r="H9" s="48">
        <f t="shared" si="2"/>
        <v>18955.3</v>
      </c>
      <c r="I9" s="103">
        <v>0.17660000000000001</v>
      </c>
      <c r="J9" s="103">
        <v>8.3699999999999997E-2</v>
      </c>
    </row>
    <row r="10" spans="1:10" x14ac:dyDescent="0.25">
      <c r="A10" s="19" t="s">
        <v>757</v>
      </c>
      <c r="B10" s="26">
        <v>30400</v>
      </c>
      <c r="C10" s="26">
        <v>33600</v>
      </c>
      <c r="D10" s="102">
        <v>19359.900000000001</v>
      </c>
      <c r="E10" s="102">
        <v>33763.800000000003</v>
      </c>
      <c r="F10" s="56">
        <f t="shared" si="0"/>
        <v>-7201.9545041265665</v>
      </c>
      <c r="G10" s="56">
        <f t="shared" si="1"/>
        <v>7201.945495873435</v>
      </c>
      <c r="H10" s="48">
        <f t="shared" si="2"/>
        <v>14403.900000000001</v>
      </c>
      <c r="I10" s="103">
        <v>9.8500000000000004E-2</v>
      </c>
      <c r="J10" s="103">
        <v>0.15959999999999999</v>
      </c>
    </row>
    <row r="11" spans="1:10" x14ac:dyDescent="0.25">
      <c r="A11" s="19" t="s">
        <v>758</v>
      </c>
      <c r="B11" s="30">
        <v>0.33</v>
      </c>
      <c r="C11" s="30">
        <v>0.27</v>
      </c>
      <c r="D11" s="102">
        <v>19685.8</v>
      </c>
      <c r="E11" s="102">
        <v>31691.5</v>
      </c>
      <c r="F11" s="56">
        <f t="shared" si="0"/>
        <v>-6876.0545041265686</v>
      </c>
      <c r="G11" s="56">
        <f t="shared" si="1"/>
        <v>5129.6454958734321</v>
      </c>
      <c r="H11" s="48">
        <f t="shared" si="2"/>
        <v>12005.7</v>
      </c>
      <c r="I11" s="103">
        <v>9.6500000000000002E-2</v>
      </c>
      <c r="J11" s="103">
        <v>0.15529999999999999</v>
      </c>
    </row>
    <row r="12" spans="1:10" x14ac:dyDescent="0.25">
      <c r="A12" s="19" t="s">
        <v>759</v>
      </c>
      <c r="B12" s="34">
        <v>0.9</v>
      </c>
      <c r="C12" s="34">
        <v>1.1000000000000001</v>
      </c>
      <c r="D12" s="102">
        <v>22271.200000000001</v>
      </c>
      <c r="E12" s="102">
        <v>31304.1</v>
      </c>
      <c r="F12" s="56">
        <f t="shared" si="0"/>
        <v>-4290.6545041265672</v>
      </c>
      <c r="G12" s="56">
        <f t="shared" si="1"/>
        <v>4742.2454958734306</v>
      </c>
      <c r="H12" s="48">
        <f t="shared" si="2"/>
        <v>9032.8999999999978</v>
      </c>
      <c r="I12" s="103">
        <v>0.1212</v>
      </c>
      <c r="J12" s="103">
        <v>0.13950000000000001</v>
      </c>
    </row>
    <row r="13" spans="1:10" x14ac:dyDescent="0.25">
      <c r="A13" s="19" t="s">
        <v>760</v>
      </c>
      <c r="B13" s="30">
        <v>0.75</v>
      </c>
      <c r="C13" s="30">
        <v>0.81</v>
      </c>
      <c r="D13" s="102">
        <v>21601</v>
      </c>
      <c r="E13" s="102">
        <v>30187.4</v>
      </c>
      <c r="F13" s="56">
        <f t="shared" si="0"/>
        <v>-4960.8545041265679</v>
      </c>
      <c r="G13" s="56">
        <f t="shared" si="1"/>
        <v>3625.5454958734335</v>
      </c>
      <c r="H13" s="48">
        <f t="shared" si="2"/>
        <v>8586.4000000000015</v>
      </c>
      <c r="I13" s="103">
        <v>0.10589999999999999</v>
      </c>
      <c r="J13" s="103">
        <v>0.1479</v>
      </c>
    </row>
    <row r="14" spans="1:10" x14ac:dyDescent="0.25">
      <c r="A14" s="19" t="s">
        <v>761</v>
      </c>
      <c r="B14" s="30">
        <v>0.78</v>
      </c>
      <c r="C14" s="30">
        <v>0.95</v>
      </c>
      <c r="D14" s="102">
        <v>20737.5</v>
      </c>
      <c r="E14" s="102">
        <v>28196</v>
      </c>
      <c r="F14" s="56">
        <f t="shared" si="0"/>
        <v>-5824.3545041265679</v>
      </c>
      <c r="G14" s="56">
        <f t="shared" si="1"/>
        <v>1634.1454958734321</v>
      </c>
      <c r="H14" s="48">
        <f t="shared" si="2"/>
        <v>7458.5</v>
      </c>
      <c r="I14" s="103">
        <v>0.1016</v>
      </c>
      <c r="J14" s="103">
        <v>0.13819999999999999</v>
      </c>
    </row>
    <row r="15" spans="1:10" x14ac:dyDescent="0.25">
      <c r="A15" s="19" t="s">
        <v>762</v>
      </c>
      <c r="B15" s="30">
        <v>0.3</v>
      </c>
      <c r="C15" s="30">
        <v>0</v>
      </c>
      <c r="D15" s="102">
        <v>25084</v>
      </c>
      <c r="E15" s="102">
        <v>28039.7</v>
      </c>
      <c r="F15" s="56">
        <f t="shared" si="0"/>
        <v>-1477.8545041265679</v>
      </c>
      <c r="G15" s="56">
        <f t="shared" si="1"/>
        <v>1477.8454958734328</v>
      </c>
      <c r="H15" s="48">
        <f t="shared" si="2"/>
        <v>2955.7000000000007</v>
      </c>
      <c r="I15" s="103">
        <v>0.1229</v>
      </c>
      <c r="J15" s="103">
        <v>0.13739999999999999</v>
      </c>
    </row>
    <row r="16" spans="1:10" x14ac:dyDescent="0.25">
      <c r="A16" s="19" t="s">
        <v>763</v>
      </c>
      <c r="B16" s="30">
        <v>0.05</v>
      </c>
      <c r="C16" s="30">
        <v>0.03</v>
      </c>
      <c r="D16" s="102">
        <v>26412.9</v>
      </c>
      <c r="E16" s="102">
        <v>26679.200000000001</v>
      </c>
      <c r="F16" s="56">
        <f t="shared" si="0"/>
        <v>-148.95450412656646</v>
      </c>
      <c r="G16" s="56">
        <f t="shared" si="1"/>
        <v>117.34549587343281</v>
      </c>
      <c r="H16" s="48">
        <f t="shared" si="2"/>
        <v>266.29999999999927</v>
      </c>
      <c r="I16" s="103">
        <v>0.12939999999999999</v>
      </c>
      <c r="J16" s="103">
        <v>0.13070000000000001</v>
      </c>
    </row>
    <row r="18" spans="1:10" x14ac:dyDescent="0.25">
      <c r="A18" s="23" t="s">
        <v>764</v>
      </c>
      <c r="B18" s="24"/>
      <c r="C18" s="24"/>
      <c r="D18" s="24"/>
      <c r="E18" s="24"/>
      <c r="F18" s="24"/>
      <c r="G18" s="24"/>
      <c r="H18" s="24"/>
      <c r="I18" s="24"/>
      <c r="J18" s="24"/>
    </row>
    <row r="19" spans="1:10" x14ac:dyDescent="0.25">
      <c r="A19" s="83" t="s">
        <v>765</v>
      </c>
      <c r="D19" s="48">
        <v>972.2</v>
      </c>
      <c r="F19" s="56">
        <f>D19-$D$5</f>
        <v>-25589.654504126567</v>
      </c>
      <c r="I19" s="78">
        <v>4.7999999999999996E-3</v>
      </c>
    </row>
    <row r="20" spans="1:10" x14ac:dyDescent="0.25">
      <c r="A20" s="83" t="s">
        <v>766</v>
      </c>
      <c r="D20" s="48">
        <v>-2368.6</v>
      </c>
      <c r="F20" s="56">
        <f>D20-$D$5</f>
        <v>-28930.454504126566</v>
      </c>
      <c r="I20" s="78">
        <v>-1.29E-2</v>
      </c>
    </row>
    <row r="22" spans="1:10" x14ac:dyDescent="0.25">
      <c r="A22" s="84" t="s">
        <v>767</v>
      </c>
    </row>
    <row r="23" spans="1:10" x14ac:dyDescent="0.25">
      <c r="A23" s="84" t="s">
        <v>768</v>
      </c>
    </row>
    <row r="24" spans="1:10" x14ac:dyDescent="0.25">
      <c r="A24" s="84" t="s">
        <v>769</v>
      </c>
    </row>
    <row r="25" spans="1:10" x14ac:dyDescent="0.25">
      <c r="A25" s="84" t="s">
        <v>770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Dashboard</vt:lpstr>
      <vt:lpstr>Assumptions</vt:lpstr>
      <vt:lpstr>Topline_ExC</vt:lpstr>
      <vt:lpstr>Capacity_ExD</vt:lpstr>
      <vt:lpstr>Erlang_Check</vt:lpstr>
      <vt:lpstr>Costs</vt:lpstr>
      <vt:lpstr>PnL_ExE</vt:lpstr>
      <vt:lpstr>UnitEcon</vt:lpstr>
      <vt:lpstr>CostProgram_ExF</vt:lpstr>
      <vt:lpstr>ZBB_Register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Helix Support Partners - FY26 operating plan</dc:title>
  <dc:subject/>
  <dc:creator>Nima</dc:creator>
  <dc:description/>
  <cp:lastModifiedBy>Nima Rastgo</cp:lastModifiedBy>
  <cp:revision>1</cp:revision>
  <dcterms:created xsi:type="dcterms:W3CDTF">2026-10-05T08:57:13Z</dcterms:created>
  <dcterms:modified xsi:type="dcterms:W3CDTF">2026-10-11T04:02:47Z</dcterms:modified>
  <dc:language>en-US</dc:language>
</cp:coreProperties>
</file>